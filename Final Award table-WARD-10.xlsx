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OneDrive\1 Usilampatti\1 Vaigai Northbank\1 Execution\Land Acquisition\Award\"/>
    </mc:Choice>
  </mc:AlternateContent>
  <xr:revisionPtr revIDLastSave="0" documentId="13_ncr:1_{F0EEF754-5420-4787-8FB3-68707F437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O22" i="1"/>
  <c r="N22" i="1"/>
  <c r="J5" i="1"/>
  <c r="K5" i="1" s="1"/>
  <c r="L5" i="1" s="1"/>
  <c r="J6" i="1"/>
  <c r="K6" i="1" s="1"/>
  <c r="J7" i="1"/>
  <c r="J8" i="1"/>
  <c r="J9" i="1"/>
  <c r="J10" i="1"/>
  <c r="J11" i="1"/>
  <c r="J12" i="1"/>
  <c r="K12" i="1" s="1"/>
  <c r="L12" i="1" s="1"/>
  <c r="J13" i="1"/>
  <c r="K13" i="1" s="1"/>
  <c r="L13" i="1" s="1"/>
  <c r="J14" i="1"/>
  <c r="J15" i="1"/>
  <c r="K15" i="1" s="1"/>
  <c r="L15" i="1" s="1"/>
  <c r="J16" i="1"/>
  <c r="J17" i="1"/>
  <c r="K17" i="1" s="1"/>
  <c r="J18" i="1"/>
  <c r="K18" i="1" s="1"/>
  <c r="L18" i="1" s="1"/>
  <c r="J19" i="1"/>
  <c r="K19" i="1" s="1"/>
  <c r="L19" i="1" s="1"/>
  <c r="J20" i="1"/>
  <c r="K20" i="1" s="1"/>
  <c r="L20" i="1" s="1"/>
  <c r="J21" i="1"/>
  <c r="K21" i="1" s="1"/>
  <c r="L21" i="1" s="1"/>
  <c r="J4" i="1"/>
  <c r="J3" i="1"/>
  <c r="K4" i="1" l="1"/>
  <c r="L4" i="1" s="1"/>
  <c r="K3" i="1"/>
  <c r="L3" i="1" s="1"/>
  <c r="J22" i="1"/>
  <c r="M21" i="1"/>
  <c r="P21" i="1" s="1"/>
  <c r="R21" i="1"/>
  <c r="T21" i="1" s="1"/>
  <c r="R20" i="1"/>
  <c r="T20" i="1" s="1"/>
  <c r="M20" i="1"/>
  <c r="P20" i="1" s="1"/>
  <c r="M19" i="1"/>
  <c r="P19" i="1" s="1"/>
  <c r="R19" i="1"/>
  <c r="T19" i="1" s="1"/>
  <c r="R18" i="1"/>
  <c r="T18" i="1" s="1"/>
  <c r="M18" i="1"/>
  <c r="P18" i="1" s="1"/>
  <c r="L17" i="1"/>
  <c r="K16" i="1"/>
  <c r="L16" i="1" s="1"/>
  <c r="R15" i="1"/>
  <c r="T15" i="1" s="1"/>
  <c r="M15" i="1"/>
  <c r="P15" i="1" s="1"/>
  <c r="K14" i="1"/>
  <c r="L14" i="1" s="1"/>
  <c r="R13" i="1"/>
  <c r="T13" i="1" s="1"/>
  <c r="M13" i="1"/>
  <c r="P13" i="1" s="1"/>
  <c r="R12" i="1"/>
  <c r="T12" i="1" s="1"/>
  <c r="M12" i="1"/>
  <c r="P12" i="1" s="1"/>
  <c r="K11" i="1"/>
  <c r="L11" i="1" s="1"/>
  <c r="K9" i="1"/>
  <c r="L9" i="1" s="1"/>
  <c r="K10" i="1"/>
  <c r="L10" i="1" s="1"/>
  <c r="L6" i="1"/>
  <c r="M5" i="1"/>
  <c r="P5" i="1" s="1"/>
  <c r="R5" i="1"/>
  <c r="T5" i="1" s="1"/>
  <c r="Q5" i="1"/>
  <c r="K7" i="1"/>
  <c r="L7" i="1" s="1"/>
  <c r="K8" i="1"/>
  <c r="L8" i="1" s="1"/>
  <c r="R4" i="1" l="1"/>
  <c r="T4" i="1" s="1"/>
  <c r="M4" i="1"/>
  <c r="P4" i="1" s="1"/>
  <c r="Q4" i="1" s="1"/>
  <c r="U4" i="1" s="1"/>
  <c r="L22" i="1"/>
  <c r="R3" i="1"/>
  <c r="K22" i="1"/>
  <c r="M3" i="1"/>
  <c r="U5" i="1"/>
  <c r="Q21" i="1"/>
  <c r="U21" i="1" s="1"/>
  <c r="Q20" i="1"/>
  <c r="U20" i="1"/>
  <c r="Q19" i="1"/>
  <c r="U19" i="1"/>
  <c r="Q18" i="1"/>
  <c r="U18" i="1"/>
  <c r="R17" i="1"/>
  <c r="T17" i="1" s="1"/>
  <c r="M17" i="1"/>
  <c r="P17" i="1" s="1"/>
  <c r="R16" i="1"/>
  <c r="T16" i="1" s="1"/>
  <c r="M16" i="1"/>
  <c r="P16" i="1" s="1"/>
  <c r="Q15" i="1"/>
  <c r="U15" i="1" s="1"/>
  <c r="R14" i="1"/>
  <c r="T14" i="1" s="1"/>
  <c r="M14" i="1"/>
  <c r="P14" i="1" s="1"/>
  <c r="Q13" i="1"/>
  <c r="U13" i="1" s="1"/>
  <c r="Q12" i="1"/>
  <c r="U12" i="1"/>
  <c r="R11" i="1"/>
  <c r="T11" i="1" s="1"/>
  <c r="M11" i="1"/>
  <c r="P11" i="1" s="1"/>
  <c r="R9" i="1"/>
  <c r="T9" i="1" s="1"/>
  <c r="M9" i="1"/>
  <c r="P9" i="1" s="1"/>
  <c r="R10" i="1"/>
  <c r="T10" i="1" s="1"/>
  <c r="M10" i="1"/>
  <c r="P10" i="1" s="1"/>
  <c r="M8" i="1"/>
  <c r="P8" i="1" s="1"/>
  <c r="R8" i="1"/>
  <c r="T8" i="1" s="1"/>
  <c r="M7" i="1"/>
  <c r="P7" i="1" s="1"/>
  <c r="R7" i="1"/>
  <c r="T7" i="1" s="1"/>
  <c r="R6" i="1"/>
  <c r="T6" i="1" s="1"/>
  <c r="M6" i="1"/>
  <c r="P6" i="1" s="1"/>
  <c r="T3" i="1" l="1"/>
  <c r="T22" i="1" s="1"/>
  <c r="R22" i="1"/>
  <c r="M22" i="1"/>
  <c r="P3" i="1"/>
  <c r="Q17" i="1"/>
  <c r="U17" i="1" s="1"/>
  <c r="Q16" i="1"/>
  <c r="U16" i="1" s="1"/>
  <c r="Q14" i="1"/>
  <c r="U14" i="1" s="1"/>
  <c r="Q11" i="1"/>
  <c r="U11" i="1" s="1"/>
  <c r="Q9" i="1"/>
  <c r="U9" i="1"/>
  <c r="Q10" i="1"/>
  <c r="U10" i="1"/>
  <c r="Q8" i="1"/>
  <c r="U8" i="1" s="1"/>
  <c r="Q7" i="1"/>
  <c r="U7" i="1" s="1"/>
  <c r="Q6" i="1"/>
  <c r="U6" i="1" s="1"/>
  <c r="P22" i="1" l="1"/>
  <c r="Q3" i="1"/>
  <c r="Q22" i="1" s="1"/>
  <c r="U3" i="1"/>
  <c r="U22" i="1" s="1"/>
</calcChain>
</file>

<file path=xl/sharedStrings.xml><?xml version="1.0" encoding="utf-8"?>
<sst xmlns="http://schemas.openxmlformats.org/spreadsheetml/2006/main" count="114" uniqueCount="74">
  <si>
    <t>Sl.No</t>
  </si>
  <si>
    <t>Ward</t>
  </si>
  <si>
    <t>Block</t>
  </si>
  <si>
    <t>S.F. No</t>
  </si>
  <si>
    <t>New Sub-Division</t>
  </si>
  <si>
    <t>Category</t>
  </si>
  <si>
    <t>Land Owners</t>
  </si>
  <si>
    <t>Acquired Land Area (Sqm)</t>
  </si>
  <si>
    <t>Land Value Fixed</t>
  </si>
  <si>
    <t>Land Value</t>
  </si>
  <si>
    <t>Deduction (unapproved plots)</t>
  </si>
  <si>
    <t>Remaining Amount</t>
  </si>
  <si>
    <t>Multification Factor</t>
  </si>
  <si>
    <t>Structures Value</t>
  </si>
  <si>
    <t>Tree Value</t>
  </si>
  <si>
    <t>Total Amount</t>
  </si>
  <si>
    <t>100% Solatium</t>
  </si>
  <si>
    <t>Ordinary Days (343 Days)</t>
  </si>
  <si>
    <t>Lesf year days</t>
  </si>
  <si>
    <t>Total days</t>
  </si>
  <si>
    <t>Compensation Amount</t>
  </si>
  <si>
    <t>X</t>
  </si>
  <si>
    <t>2468/1A2B</t>
  </si>
  <si>
    <t>2468/17</t>
  </si>
  <si>
    <t>Ryot Manai</t>
  </si>
  <si>
    <t>S. Manian, S. Natarajan</t>
  </si>
  <si>
    <t>2468/1A2C</t>
  </si>
  <si>
    <t>2468/18</t>
  </si>
  <si>
    <t>Alagumani</t>
  </si>
  <si>
    <t>2468/2A3A</t>
  </si>
  <si>
    <t>2468/19</t>
  </si>
  <si>
    <t>Alagumalai</t>
  </si>
  <si>
    <t>2468/2A3B</t>
  </si>
  <si>
    <t>2468/20</t>
  </si>
  <si>
    <t>Karuppaiah servai</t>
  </si>
  <si>
    <t>2468/2A3C</t>
  </si>
  <si>
    <t>2468/21</t>
  </si>
  <si>
    <t>T. Sankaralingam</t>
  </si>
  <si>
    <t>2468/2A3D</t>
  </si>
  <si>
    <t>2468/22</t>
  </si>
  <si>
    <t>K. Gnammal</t>
  </si>
  <si>
    <t>2468/2A4A</t>
  </si>
  <si>
    <t>2468/2A4D</t>
  </si>
  <si>
    <t>2468/2A4E</t>
  </si>
  <si>
    <t>2468/2A4H</t>
  </si>
  <si>
    <t>2468/2A4I</t>
  </si>
  <si>
    <t>2469/1</t>
  </si>
  <si>
    <t>2470/1C5</t>
  </si>
  <si>
    <t>2468/23</t>
  </si>
  <si>
    <t>2468/24</t>
  </si>
  <si>
    <t>2468/25</t>
  </si>
  <si>
    <t>2468/26</t>
  </si>
  <si>
    <t>2468/27</t>
  </si>
  <si>
    <t>2469/6</t>
  </si>
  <si>
    <t>2470/7</t>
  </si>
  <si>
    <t>Sarkar Manai</t>
  </si>
  <si>
    <t>Ryot Punjai</t>
  </si>
  <si>
    <t>S. Mohd Ibrahim</t>
  </si>
  <si>
    <t>V. Pandiammal</t>
  </si>
  <si>
    <t>Duraipandi</t>
  </si>
  <si>
    <t>A. Sengaisamy</t>
  </si>
  <si>
    <t>Ayyanar Koil Maniyam</t>
  </si>
  <si>
    <t>Pentacoste Sabai</t>
  </si>
  <si>
    <t>2470/2</t>
  </si>
  <si>
    <t>2471/1</t>
  </si>
  <si>
    <t>2471/2</t>
  </si>
  <si>
    <t>2470/8</t>
  </si>
  <si>
    <t>2471/3</t>
  </si>
  <si>
    <t>2471/4</t>
  </si>
  <si>
    <t>2472/2</t>
  </si>
  <si>
    <t>2473/2</t>
  </si>
  <si>
    <t>2474/2</t>
  </si>
  <si>
    <t>Pentacoste Sabai, Corporation Commissioner</t>
  </si>
  <si>
    <t>Vaigai North Bank Road Km 0/0-8/0 - Land Acquisition - Award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</si>
</sst>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topLeftCell="E1" workbookViewId="0">
      <selection activeCell="K2" sqref="K2"/>
    </sheetView>
  </sheetViews>
  <sheetFormatPr defaultRowHeight="14.4" x14ac:dyDescent="0.3"/>
  <cols>
    <col min="10" max="10" width="13.6640625" bestFit="1" customWidth="1"/>
    <col min="11" max="11" width="11.33203125" customWidth="1"/>
    <col min="12" max="12" width="11.88671875" customWidth="1"/>
    <col min="13" max="13" width="11.6640625" customWidth="1"/>
    <col min="14" max="14" width="11.77734375" customWidth="1"/>
    <col min="15" max="15" width="9.5546875" bestFit="1" customWidth="1"/>
    <col min="16" max="16" width="13.33203125" customWidth="1"/>
    <col min="17" max="17" width="12.109375" customWidth="1"/>
    <col min="18" max="18" width="11.5546875" bestFit="1" customWidth="1"/>
    <col min="20" max="20" width="11.5546875" bestFit="1" customWidth="1"/>
    <col min="21" max="21" width="11.77734375" customWidth="1"/>
  </cols>
  <sheetData>
    <row r="1" spans="1:21" x14ac:dyDescent="0.3">
      <c r="F1" t="s">
        <v>73</v>
      </c>
    </row>
    <row r="2" spans="1:21" s="2" customFormat="1" ht="43.2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 x14ac:dyDescent="0.3">
      <c r="A3">
        <v>1</v>
      </c>
      <c r="B3" t="s">
        <v>21</v>
      </c>
      <c r="C3">
        <v>64</v>
      </c>
      <c r="D3" t="s">
        <v>22</v>
      </c>
      <c r="E3" t="s">
        <v>23</v>
      </c>
      <c r="F3" t="s">
        <v>24</v>
      </c>
      <c r="G3" t="s">
        <v>25</v>
      </c>
      <c r="H3">
        <v>123</v>
      </c>
      <c r="I3">
        <v>7535</v>
      </c>
      <c r="J3">
        <f>+H3*I3</f>
        <v>926805</v>
      </c>
      <c r="K3" s="1">
        <f>+ROUND(J3*33.33%,2)</f>
        <v>308904.11</v>
      </c>
      <c r="L3" s="1">
        <f>+J3-K3</f>
        <v>617900.89</v>
      </c>
      <c r="M3" s="1">
        <f>+L3</f>
        <v>617900.89</v>
      </c>
      <c r="N3">
        <v>3189300</v>
      </c>
      <c r="O3">
        <v>0</v>
      </c>
      <c r="P3" s="1">
        <f>+M3+N3+O3</f>
        <v>3807200.89</v>
      </c>
      <c r="Q3" s="1">
        <f>+P3</f>
        <v>3807200.89</v>
      </c>
      <c r="R3" s="1">
        <f>+ROUND(L3*12/100*343/365,2)</f>
        <v>69678.91</v>
      </c>
      <c r="S3">
        <v>0</v>
      </c>
      <c r="T3" s="1">
        <f>+R3+S3</f>
        <v>69678.91</v>
      </c>
      <c r="U3" s="1">
        <f>+ROUND(P3+Q3+T3,0)</f>
        <v>7684081</v>
      </c>
    </row>
    <row r="4" spans="1:21" x14ac:dyDescent="0.3">
      <c r="A4">
        <v>2</v>
      </c>
      <c r="B4" t="s">
        <v>21</v>
      </c>
      <c r="C4">
        <v>64</v>
      </c>
      <c r="D4" t="s">
        <v>26</v>
      </c>
      <c r="E4" t="s">
        <v>27</v>
      </c>
      <c r="F4" t="s">
        <v>24</v>
      </c>
      <c r="G4" t="s">
        <v>28</v>
      </c>
      <c r="H4">
        <v>10</v>
      </c>
      <c r="I4">
        <v>7535</v>
      </c>
      <c r="J4">
        <f>+H4*I4</f>
        <v>75350</v>
      </c>
      <c r="K4" s="1">
        <f>+ROUND(J4*33.33%,2)</f>
        <v>25114.16</v>
      </c>
      <c r="L4" s="1">
        <f>+J4-K4</f>
        <v>50235.839999999997</v>
      </c>
      <c r="M4" s="1">
        <f>+L4</f>
        <v>50235.839999999997</v>
      </c>
      <c r="N4">
        <v>0</v>
      </c>
      <c r="O4">
        <v>0</v>
      </c>
      <c r="P4" s="1">
        <f t="shared" ref="P4:P21" si="0">+M4+N4+O4</f>
        <v>50235.839999999997</v>
      </c>
      <c r="Q4" s="1">
        <f t="shared" ref="Q4:Q21" si="1">+P4</f>
        <v>50235.839999999997</v>
      </c>
      <c r="R4" s="1">
        <f t="shared" ref="R4:R21" si="2">+ROUND(L4*12/100*343/365,2)</f>
        <v>5664.95</v>
      </c>
      <c r="T4" s="1">
        <f t="shared" ref="T4:T21" si="3">+R4+S4</f>
        <v>5664.95</v>
      </c>
      <c r="U4" s="1">
        <f t="shared" ref="U4:U21" si="4">+ROUND(P4+Q4+T4,0)</f>
        <v>106137</v>
      </c>
    </row>
    <row r="5" spans="1:21" x14ac:dyDescent="0.3">
      <c r="A5">
        <v>3</v>
      </c>
      <c r="B5" t="s">
        <v>21</v>
      </c>
      <c r="C5">
        <v>64</v>
      </c>
      <c r="D5" t="s">
        <v>29</v>
      </c>
      <c r="E5" t="s">
        <v>30</v>
      </c>
      <c r="F5" t="s">
        <v>24</v>
      </c>
      <c r="G5" t="s">
        <v>31</v>
      </c>
      <c r="H5">
        <v>16</v>
      </c>
      <c r="I5">
        <v>7535</v>
      </c>
      <c r="J5">
        <f t="shared" ref="J5:J21" si="5">+H5*I5</f>
        <v>120560</v>
      </c>
      <c r="K5" s="1">
        <f t="shared" ref="K5:K21" si="6">+ROUND(J5*33.33%,2)</f>
        <v>40182.65</v>
      </c>
      <c r="L5" s="1">
        <f t="shared" ref="L5:L21" si="7">+J5-K5</f>
        <v>80377.350000000006</v>
      </c>
      <c r="M5" s="1">
        <f t="shared" ref="M5:M21" si="8">+L5</f>
        <v>80377.350000000006</v>
      </c>
      <c r="P5" s="1">
        <f t="shared" si="0"/>
        <v>80377.350000000006</v>
      </c>
      <c r="Q5" s="1">
        <f t="shared" si="1"/>
        <v>80377.350000000006</v>
      </c>
      <c r="R5" s="1">
        <f t="shared" si="2"/>
        <v>9063.92</v>
      </c>
      <c r="T5" s="1">
        <f t="shared" si="3"/>
        <v>9063.92</v>
      </c>
      <c r="U5" s="1">
        <f t="shared" si="4"/>
        <v>169819</v>
      </c>
    </row>
    <row r="6" spans="1:21" x14ac:dyDescent="0.3">
      <c r="A6">
        <v>4</v>
      </c>
      <c r="B6" t="s">
        <v>21</v>
      </c>
      <c r="C6">
        <v>64</v>
      </c>
      <c r="D6" t="s">
        <v>32</v>
      </c>
      <c r="E6" t="s">
        <v>33</v>
      </c>
      <c r="F6" t="s">
        <v>24</v>
      </c>
      <c r="G6" t="s">
        <v>34</v>
      </c>
      <c r="H6">
        <v>25</v>
      </c>
      <c r="I6">
        <v>7535</v>
      </c>
      <c r="J6">
        <f t="shared" si="5"/>
        <v>188375</v>
      </c>
      <c r="K6" s="1">
        <f t="shared" si="6"/>
        <v>62785.39</v>
      </c>
      <c r="L6" s="1">
        <f t="shared" si="7"/>
        <v>125589.61</v>
      </c>
      <c r="M6" s="1">
        <f t="shared" si="8"/>
        <v>125589.61</v>
      </c>
      <c r="N6">
        <v>203100</v>
      </c>
      <c r="P6" s="1">
        <f t="shared" si="0"/>
        <v>328689.61</v>
      </c>
      <c r="Q6" s="1">
        <f t="shared" si="1"/>
        <v>328689.61</v>
      </c>
      <c r="R6" s="1">
        <f t="shared" si="2"/>
        <v>14162.38</v>
      </c>
      <c r="T6" s="1">
        <f t="shared" si="3"/>
        <v>14162.38</v>
      </c>
      <c r="U6" s="1">
        <f t="shared" si="4"/>
        <v>671542</v>
      </c>
    </row>
    <row r="7" spans="1:21" x14ac:dyDescent="0.3">
      <c r="A7">
        <v>5</v>
      </c>
      <c r="B7" t="s">
        <v>21</v>
      </c>
      <c r="C7">
        <v>64</v>
      </c>
      <c r="D7" t="s">
        <v>35</v>
      </c>
      <c r="E7" t="s">
        <v>36</v>
      </c>
      <c r="F7" t="s">
        <v>24</v>
      </c>
      <c r="G7" t="s">
        <v>37</v>
      </c>
      <c r="H7">
        <v>80</v>
      </c>
      <c r="I7">
        <v>7535</v>
      </c>
      <c r="J7">
        <f t="shared" si="5"/>
        <v>602800</v>
      </c>
      <c r="K7" s="1">
        <f t="shared" si="6"/>
        <v>200913.24</v>
      </c>
      <c r="L7" s="1">
        <f t="shared" si="7"/>
        <v>401886.76</v>
      </c>
      <c r="M7" s="1">
        <f t="shared" si="8"/>
        <v>401886.76</v>
      </c>
      <c r="N7">
        <v>1066300</v>
      </c>
      <c r="P7" s="1">
        <f t="shared" si="0"/>
        <v>1468186.76</v>
      </c>
      <c r="Q7" s="1">
        <f t="shared" si="1"/>
        <v>1468186.76</v>
      </c>
      <c r="R7" s="1">
        <f t="shared" si="2"/>
        <v>45319.61</v>
      </c>
      <c r="T7" s="1">
        <f t="shared" si="3"/>
        <v>45319.61</v>
      </c>
      <c r="U7" s="1">
        <f t="shared" si="4"/>
        <v>2981693</v>
      </c>
    </row>
    <row r="8" spans="1:21" x14ac:dyDescent="0.3">
      <c r="A8">
        <v>6</v>
      </c>
      <c r="B8" t="s">
        <v>21</v>
      </c>
      <c r="C8">
        <v>64</v>
      </c>
      <c r="D8" t="s">
        <v>38</v>
      </c>
      <c r="E8" t="s">
        <v>39</v>
      </c>
      <c r="F8" t="s">
        <v>24</v>
      </c>
      <c r="G8" t="s">
        <v>40</v>
      </c>
      <c r="H8">
        <v>7</v>
      </c>
      <c r="I8">
        <v>7535</v>
      </c>
      <c r="J8">
        <f t="shared" si="5"/>
        <v>52745</v>
      </c>
      <c r="K8" s="1">
        <f t="shared" si="6"/>
        <v>17579.91</v>
      </c>
      <c r="L8" s="1">
        <f t="shared" si="7"/>
        <v>35165.089999999997</v>
      </c>
      <c r="M8" s="1">
        <f t="shared" si="8"/>
        <v>35165.089999999997</v>
      </c>
      <c r="N8">
        <v>0</v>
      </c>
      <c r="O8">
        <v>0</v>
      </c>
      <c r="P8" s="1">
        <f t="shared" si="0"/>
        <v>35165.089999999997</v>
      </c>
      <c r="Q8" s="1">
        <f t="shared" si="1"/>
        <v>35165.089999999997</v>
      </c>
      <c r="R8" s="1">
        <f t="shared" si="2"/>
        <v>3965.47</v>
      </c>
      <c r="T8" s="1">
        <f t="shared" si="3"/>
        <v>3965.47</v>
      </c>
      <c r="U8" s="1">
        <f t="shared" si="4"/>
        <v>74296</v>
      </c>
    </row>
    <row r="9" spans="1:21" x14ac:dyDescent="0.3">
      <c r="A9">
        <v>7</v>
      </c>
      <c r="B9" t="s">
        <v>21</v>
      </c>
      <c r="C9">
        <v>64</v>
      </c>
      <c r="D9" t="s">
        <v>41</v>
      </c>
      <c r="E9" t="s">
        <v>48</v>
      </c>
      <c r="F9" t="s">
        <v>24</v>
      </c>
      <c r="G9" t="s">
        <v>40</v>
      </c>
      <c r="H9">
        <v>35</v>
      </c>
      <c r="I9">
        <v>7535</v>
      </c>
      <c r="J9">
        <f t="shared" si="5"/>
        <v>263725</v>
      </c>
      <c r="K9" s="1">
        <f t="shared" si="6"/>
        <v>87899.54</v>
      </c>
      <c r="L9" s="1">
        <f t="shared" si="7"/>
        <v>175825.46000000002</v>
      </c>
      <c r="M9" s="1">
        <f t="shared" si="8"/>
        <v>175825.46000000002</v>
      </c>
      <c r="N9">
        <v>145000</v>
      </c>
      <c r="P9" s="1">
        <f t="shared" si="0"/>
        <v>320825.46000000002</v>
      </c>
      <c r="Q9" s="1">
        <f t="shared" si="1"/>
        <v>320825.46000000002</v>
      </c>
      <c r="R9" s="1">
        <f t="shared" si="2"/>
        <v>19827.330000000002</v>
      </c>
      <c r="T9" s="1">
        <f t="shared" si="3"/>
        <v>19827.330000000002</v>
      </c>
      <c r="U9" s="1">
        <f t="shared" si="4"/>
        <v>661478</v>
      </c>
    </row>
    <row r="10" spans="1:21" x14ac:dyDescent="0.3">
      <c r="A10">
        <v>8</v>
      </c>
      <c r="B10" t="s">
        <v>21</v>
      </c>
      <c r="C10">
        <v>64</v>
      </c>
      <c r="D10" t="s">
        <v>42</v>
      </c>
      <c r="E10" t="s">
        <v>49</v>
      </c>
      <c r="F10" t="s">
        <v>55</v>
      </c>
      <c r="G10" t="s">
        <v>57</v>
      </c>
      <c r="H10">
        <v>25</v>
      </c>
      <c r="I10">
        <v>7535</v>
      </c>
      <c r="J10">
        <f t="shared" si="5"/>
        <v>188375</v>
      </c>
      <c r="K10" s="1">
        <f t="shared" si="6"/>
        <v>62785.39</v>
      </c>
      <c r="L10" s="1">
        <f t="shared" si="7"/>
        <v>125589.61</v>
      </c>
      <c r="M10" s="1">
        <f t="shared" si="8"/>
        <v>125589.61</v>
      </c>
      <c r="N10">
        <v>82700</v>
      </c>
      <c r="P10" s="1">
        <f t="shared" si="0"/>
        <v>208289.61</v>
      </c>
      <c r="Q10" s="1">
        <f t="shared" si="1"/>
        <v>208289.61</v>
      </c>
      <c r="R10" s="1">
        <f t="shared" si="2"/>
        <v>14162.38</v>
      </c>
      <c r="T10" s="1">
        <f t="shared" si="3"/>
        <v>14162.38</v>
      </c>
      <c r="U10" s="1">
        <f t="shared" si="4"/>
        <v>430742</v>
      </c>
    </row>
    <row r="11" spans="1:21" x14ac:dyDescent="0.3">
      <c r="A11">
        <v>9</v>
      </c>
      <c r="B11" t="s">
        <v>21</v>
      </c>
      <c r="C11">
        <v>64</v>
      </c>
      <c r="D11" t="s">
        <v>43</v>
      </c>
      <c r="E11" t="s">
        <v>50</v>
      </c>
      <c r="F11" t="s">
        <v>24</v>
      </c>
      <c r="G11" t="s">
        <v>58</v>
      </c>
      <c r="H11">
        <v>18</v>
      </c>
      <c r="I11">
        <v>7535</v>
      </c>
      <c r="J11">
        <f t="shared" si="5"/>
        <v>135630</v>
      </c>
      <c r="K11" s="1">
        <f t="shared" si="6"/>
        <v>45205.48</v>
      </c>
      <c r="L11" s="1">
        <f t="shared" si="7"/>
        <v>90424.51999999999</v>
      </c>
      <c r="M11" s="1">
        <f t="shared" si="8"/>
        <v>90424.51999999999</v>
      </c>
      <c r="N11">
        <v>0</v>
      </c>
      <c r="P11" s="1">
        <f t="shared" si="0"/>
        <v>90424.51999999999</v>
      </c>
      <c r="Q11" s="1">
        <f t="shared" si="1"/>
        <v>90424.51999999999</v>
      </c>
      <c r="R11" s="1">
        <f t="shared" si="2"/>
        <v>10196.91</v>
      </c>
      <c r="T11" s="1">
        <f t="shared" si="3"/>
        <v>10196.91</v>
      </c>
      <c r="U11" s="1">
        <f t="shared" si="4"/>
        <v>191046</v>
      </c>
    </row>
    <row r="12" spans="1:21" x14ac:dyDescent="0.3">
      <c r="A12">
        <v>10</v>
      </c>
      <c r="B12" t="s">
        <v>21</v>
      </c>
      <c r="C12">
        <v>64</v>
      </c>
      <c r="D12" t="s">
        <v>44</v>
      </c>
      <c r="E12" t="s">
        <v>51</v>
      </c>
      <c r="F12" t="s">
        <v>24</v>
      </c>
      <c r="G12" t="s">
        <v>59</v>
      </c>
      <c r="H12">
        <v>18</v>
      </c>
      <c r="I12">
        <v>7535</v>
      </c>
      <c r="J12">
        <f t="shared" si="5"/>
        <v>135630</v>
      </c>
      <c r="K12" s="1">
        <f t="shared" si="6"/>
        <v>45205.48</v>
      </c>
      <c r="L12" s="1">
        <f t="shared" si="7"/>
        <v>90424.51999999999</v>
      </c>
      <c r="M12" s="1">
        <f t="shared" si="8"/>
        <v>90424.51999999999</v>
      </c>
      <c r="N12">
        <v>210700</v>
      </c>
      <c r="P12" s="1">
        <f t="shared" si="0"/>
        <v>301124.52</v>
      </c>
      <c r="Q12" s="1">
        <f t="shared" si="1"/>
        <v>301124.52</v>
      </c>
      <c r="R12" s="1">
        <f t="shared" si="2"/>
        <v>10196.91</v>
      </c>
      <c r="T12" s="1">
        <f t="shared" si="3"/>
        <v>10196.91</v>
      </c>
      <c r="U12" s="1">
        <f t="shared" si="4"/>
        <v>612446</v>
      </c>
    </row>
    <row r="13" spans="1:21" x14ac:dyDescent="0.3">
      <c r="A13">
        <v>11</v>
      </c>
      <c r="B13" t="s">
        <v>21</v>
      </c>
      <c r="C13">
        <v>64</v>
      </c>
      <c r="D13" t="s">
        <v>45</v>
      </c>
      <c r="E13" t="s">
        <v>52</v>
      </c>
      <c r="F13" t="s">
        <v>24</v>
      </c>
      <c r="G13" t="s">
        <v>60</v>
      </c>
      <c r="H13">
        <v>18</v>
      </c>
      <c r="I13">
        <v>7535</v>
      </c>
      <c r="J13">
        <f t="shared" si="5"/>
        <v>135630</v>
      </c>
      <c r="K13" s="1">
        <f t="shared" si="6"/>
        <v>45205.48</v>
      </c>
      <c r="L13" s="1">
        <f t="shared" si="7"/>
        <v>90424.51999999999</v>
      </c>
      <c r="M13" s="1">
        <f t="shared" si="8"/>
        <v>90424.51999999999</v>
      </c>
      <c r="N13">
        <v>189000</v>
      </c>
      <c r="P13" s="1">
        <f t="shared" si="0"/>
        <v>279424.52</v>
      </c>
      <c r="Q13" s="1">
        <f t="shared" si="1"/>
        <v>279424.52</v>
      </c>
      <c r="R13" s="1">
        <f t="shared" si="2"/>
        <v>10196.91</v>
      </c>
      <c r="T13" s="1">
        <f t="shared" si="3"/>
        <v>10196.91</v>
      </c>
      <c r="U13" s="1">
        <f t="shared" si="4"/>
        <v>569046</v>
      </c>
    </row>
    <row r="14" spans="1:21" x14ac:dyDescent="0.3">
      <c r="A14">
        <v>12</v>
      </c>
      <c r="B14" t="s">
        <v>21</v>
      </c>
      <c r="C14">
        <v>64</v>
      </c>
      <c r="D14" t="s">
        <v>46</v>
      </c>
      <c r="E14" t="s">
        <v>53</v>
      </c>
      <c r="F14" t="s">
        <v>55</v>
      </c>
      <c r="G14" t="s">
        <v>61</v>
      </c>
      <c r="H14">
        <v>640</v>
      </c>
      <c r="I14">
        <v>7535</v>
      </c>
      <c r="J14">
        <f t="shared" si="5"/>
        <v>4822400</v>
      </c>
      <c r="K14" s="1">
        <f t="shared" si="6"/>
        <v>1607305.92</v>
      </c>
      <c r="L14" s="1">
        <f t="shared" si="7"/>
        <v>3215094.08</v>
      </c>
      <c r="M14" s="1">
        <f t="shared" si="8"/>
        <v>3215094.08</v>
      </c>
      <c r="N14">
        <v>6957700</v>
      </c>
      <c r="O14">
        <v>4900.9799999999996</v>
      </c>
      <c r="P14" s="1">
        <f t="shared" si="0"/>
        <v>10177695.060000001</v>
      </c>
      <c r="Q14" s="1">
        <f t="shared" si="1"/>
        <v>10177695.060000001</v>
      </c>
      <c r="R14" s="1">
        <f t="shared" si="2"/>
        <v>362556.91</v>
      </c>
      <c r="T14" s="1">
        <f t="shared" si="3"/>
        <v>362556.91</v>
      </c>
      <c r="U14" s="1">
        <f t="shared" si="4"/>
        <v>20717947</v>
      </c>
    </row>
    <row r="15" spans="1:21" x14ac:dyDescent="0.3">
      <c r="A15">
        <v>13</v>
      </c>
      <c r="B15" t="s">
        <v>21</v>
      </c>
      <c r="C15">
        <v>64</v>
      </c>
      <c r="D15" t="s">
        <v>47</v>
      </c>
      <c r="E15" t="s">
        <v>54</v>
      </c>
      <c r="F15" t="s">
        <v>56</v>
      </c>
      <c r="G15" t="s">
        <v>62</v>
      </c>
      <c r="H15">
        <v>1417</v>
      </c>
      <c r="I15">
        <v>7535</v>
      </c>
      <c r="J15">
        <f t="shared" si="5"/>
        <v>10677095</v>
      </c>
      <c r="K15" s="1">
        <f t="shared" si="6"/>
        <v>3558675.76</v>
      </c>
      <c r="L15" s="1">
        <f t="shared" si="7"/>
        <v>7118419.2400000002</v>
      </c>
      <c r="M15" s="1">
        <f t="shared" si="8"/>
        <v>7118419.2400000002</v>
      </c>
      <c r="N15">
        <v>5366700</v>
      </c>
      <c r="O15" s="1">
        <v>16278</v>
      </c>
      <c r="P15" s="1">
        <f t="shared" si="0"/>
        <v>12501397.24</v>
      </c>
      <c r="Q15" s="1">
        <f t="shared" si="1"/>
        <v>12501397.24</v>
      </c>
      <c r="R15" s="1">
        <f t="shared" si="2"/>
        <v>802723.66</v>
      </c>
      <c r="T15" s="1">
        <f t="shared" si="3"/>
        <v>802723.66</v>
      </c>
      <c r="U15" s="1">
        <f t="shared" si="4"/>
        <v>25805518</v>
      </c>
    </row>
    <row r="16" spans="1:21" x14ac:dyDescent="0.3">
      <c r="A16">
        <v>14</v>
      </c>
      <c r="B16" t="s">
        <v>21</v>
      </c>
      <c r="C16">
        <v>64</v>
      </c>
      <c r="D16" t="s">
        <v>63</v>
      </c>
      <c r="E16" t="s">
        <v>66</v>
      </c>
      <c r="F16" t="s">
        <v>56</v>
      </c>
      <c r="G16" t="s">
        <v>61</v>
      </c>
      <c r="H16">
        <v>401</v>
      </c>
      <c r="I16">
        <v>7535</v>
      </c>
      <c r="J16">
        <f t="shared" si="5"/>
        <v>3021535</v>
      </c>
      <c r="K16" s="1">
        <f t="shared" si="6"/>
        <v>1007077.62</v>
      </c>
      <c r="L16" s="1">
        <f t="shared" si="7"/>
        <v>2014457.38</v>
      </c>
      <c r="M16" s="1">
        <f t="shared" si="8"/>
        <v>2014457.38</v>
      </c>
      <c r="N16">
        <v>0</v>
      </c>
      <c r="O16" s="1">
        <v>0</v>
      </c>
      <c r="P16" s="1">
        <f t="shared" si="0"/>
        <v>2014457.38</v>
      </c>
      <c r="Q16" s="1">
        <f t="shared" si="1"/>
        <v>2014457.38</v>
      </c>
      <c r="R16" s="1">
        <f t="shared" si="2"/>
        <v>227164.56</v>
      </c>
      <c r="T16" s="1">
        <f t="shared" si="3"/>
        <v>227164.56</v>
      </c>
      <c r="U16" s="1">
        <f t="shared" si="4"/>
        <v>4256079</v>
      </c>
    </row>
    <row r="17" spans="1:21" x14ac:dyDescent="0.3">
      <c r="A17">
        <v>15</v>
      </c>
      <c r="B17" t="s">
        <v>21</v>
      </c>
      <c r="C17">
        <v>64</v>
      </c>
      <c r="D17" t="s">
        <v>64</v>
      </c>
      <c r="E17" t="s">
        <v>67</v>
      </c>
      <c r="F17" t="s">
        <v>56</v>
      </c>
      <c r="G17" t="s">
        <v>72</v>
      </c>
      <c r="H17">
        <v>267</v>
      </c>
      <c r="I17">
        <v>7535</v>
      </c>
      <c r="J17">
        <f t="shared" si="5"/>
        <v>2011845</v>
      </c>
      <c r="K17" s="1">
        <f t="shared" si="6"/>
        <v>670547.93999999994</v>
      </c>
      <c r="L17" s="1">
        <f t="shared" si="7"/>
        <v>1341297.06</v>
      </c>
      <c r="M17" s="1">
        <f t="shared" si="8"/>
        <v>1341297.06</v>
      </c>
      <c r="N17">
        <v>0</v>
      </c>
      <c r="O17" s="1">
        <v>77696</v>
      </c>
      <c r="P17" s="1">
        <f t="shared" si="0"/>
        <v>1418993.06</v>
      </c>
      <c r="Q17" s="1">
        <f t="shared" si="1"/>
        <v>1418993.06</v>
      </c>
      <c r="R17" s="1">
        <f t="shared" si="2"/>
        <v>151254.21</v>
      </c>
      <c r="T17" s="1">
        <f t="shared" si="3"/>
        <v>151254.21</v>
      </c>
      <c r="U17" s="1">
        <f t="shared" si="4"/>
        <v>2989240</v>
      </c>
    </row>
    <row r="18" spans="1:21" x14ac:dyDescent="0.3">
      <c r="A18">
        <v>16</v>
      </c>
      <c r="B18" t="s">
        <v>21</v>
      </c>
      <c r="C18">
        <v>64</v>
      </c>
      <c r="D18" t="s">
        <v>65</v>
      </c>
      <c r="E18" t="s">
        <v>68</v>
      </c>
      <c r="F18" t="s">
        <v>56</v>
      </c>
      <c r="G18" t="s">
        <v>62</v>
      </c>
      <c r="H18">
        <v>331</v>
      </c>
      <c r="I18">
        <v>7535</v>
      </c>
      <c r="J18">
        <f t="shared" si="5"/>
        <v>2494085</v>
      </c>
      <c r="K18" s="1">
        <f t="shared" si="6"/>
        <v>831278.53</v>
      </c>
      <c r="L18" s="1">
        <f t="shared" si="7"/>
        <v>1662806.47</v>
      </c>
      <c r="M18" s="1">
        <f t="shared" si="8"/>
        <v>1662806.47</v>
      </c>
      <c r="N18">
        <v>0</v>
      </c>
      <c r="O18" s="1">
        <v>89354</v>
      </c>
      <c r="P18" s="1">
        <f t="shared" si="0"/>
        <v>1752160.47</v>
      </c>
      <c r="Q18" s="1">
        <f t="shared" si="1"/>
        <v>1752160.47</v>
      </c>
      <c r="R18" s="1">
        <f t="shared" si="2"/>
        <v>187509.9</v>
      </c>
      <c r="T18" s="1">
        <f t="shared" si="3"/>
        <v>187509.9</v>
      </c>
      <c r="U18" s="1">
        <f t="shared" si="4"/>
        <v>3691831</v>
      </c>
    </row>
    <row r="19" spans="1:21" x14ac:dyDescent="0.3">
      <c r="A19">
        <v>17</v>
      </c>
      <c r="B19" t="s">
        <v>21</v>
      </c>
      <c r="C19">
        <v>64</v>
      </c>
      <c r="D19">
        <v>2472</v>
      </c>
      <c r="E19" t="s">
        <v>69</v>
      </c>
      <c r="F19" t="s">
        <v>56</v>
      </c>
      <c r="G19" t="s">
        <v>62</v>
      </c>
      <c r="H19">
        <v>466</v>
      </c>
      <c r="I19">
        <v>7535</v>
      </c>
      <c r="J19">
        <f t="shared" si="5"/>
        <v>3511310</v>
      </c>
      <c r="K19" s="1">
        <f t="shared" si="6"/>
        <v>1170319.6200000001</v>
      </c>
      <c r="L19" s="1">
        <f t="shared" si="7"/>
        <v>2340990.38</v>
      </c>
      <c r="M19" s="1">
        <f t="shared" si="8"/>
        <v>2340990.38</v>
      </c>
      <c r="N19">
        <v>313400</v>
      </c>
      <c r="O19" s="1">
        <v>167599.99</v>
      </c>
      <c r="P19" s="1">
        <f t="shared" si="0"/>
        <v>2821990.37</v>
      </c>
      <c r="Q19" s="1">
        <f t="shared" si="1"/>
        <v>2821990.37</v>
      </c>
      <c r="R19" s="1">
        <f t="shared" si="2"/>
        <v>263986.75</v>
      </c>
      <c r="T19" s="1">
        <f t="shared" si="3"/>
        <v>263986.75</v>
      </c>
      <c r="U19" s="1">
        <f t="shared" si="4"/>
        <v>5907967</v>
      </c>
    </row>
    <row r="20" spans="1:21" x14ac:dyDescent="0.3">
      <c r="A20">
        <v>18</v>
      </c>
      <c r="B20" t="s">
        <v>21</v>
      </c>
      <c r="C20">
        <v>64</v>
      </c>
      <c r="D20">
        <v>2473</v>
      </c>
      <c r="E20" t="s">
        <v>70</v>
      </c>
      <c r="F20" t="s">
        <v>56</v>
      </c>
      <c r="G20" t="s">
        <v>62</v>
      </c>
      <c r="H20">
        <v>316</v>
      </c>
      <c r="I20">
        <v>7535</v>
      </c>
      <c r="J20">
        <f t="shared" si="5"/>
        <v>2381060</v>
      </c>
      <c r="K20" s="1">
        <f t="shared" si="6"/>
        <v>793607.3</v>
      </c>
      <c r="L20" s="1">
        <f t="shared" si="7"/>
        <v>1587452.7</v>
      </c>
      <c r="M20" s="1">
        <f t="shared" si="8"/>
        <v>1587452.7</v>
      </c>
      <c r="N20">
        <v>294600</v>
      </c>
      <c r="O20" s="1">
        <v>101696.98</v>
      </c>
      <c r="P20" s="1">
        <f t="shared" si="0"/>
        <v>1983749.68</v>
      </c>
      <c r="Q20" s="1">
        <f t="shared" si="1"/>
        <v>1983749.68</v>
      </c>
      <c r="R20" s="1">
        <f t="shared" si="2"/>
        <v>179012.47</v>
      </c>
      <c r="T20" s="1">
        <f t="shared" si="3"/>
        <v>179012.47</v>
      </c>
      <c r="U20" s="1">
        <f t="shared" si="4"/>
        <v>4146512</v>
      </c>
    </row>
    <row r="21" spans="1:21" x14ac:dyDescent="0.3">
      <c r="A21">
        <v>19</v>
      </c>
      <c r="B21" t="s">
        <v>21</v>
      </c>
      <c r="C21">
        <v>64</v>
      </c>
      <c r="D21">
        <v>2474</v>
      </c>
      <c r="E21" t="s">
        <v>71</v>
      </c>
      <c r="F21" t="s">
        <v>56</v>
      </c>
      <c r="G21" t="s">
        <v>62</v>
      </c>
      <c r="H21">
        <v>31</v>
      </c>
      <c r="I21">
        <v>7535</v>
      </c>
      <c r="J21">
        <f t="shared" si="5"/>
        <v>233585</v>
      </c>
      <c r="K21" s="1">
        <f t="shared" si="6"/>
        <v>77853.88</v>
      </c>
      <c r="L21" s="1">
        <f t="shared" si="7"/>
        <v>155731.12</v>
      </c>
      <c r="M21" s="1">
        <f t="shared" si="8"/>
        <v>155731.12</v>
      </c>
      <c r="N21">
        <v>0</v>
      </c>
      <c r="O21" s="1">
        <v>33677</v>
      </c>
      <c r="P21" s="1">
        <f t="shared" si="0"/>
        <v>189408.12</v>
      </c>
      <c r="Q21" s="1">
        <f t="shared" si="1"/>
        <v>189408.12</v>
      </c>
      <c r="R21" s="1">
        <f t="shared" si="2"/>
        <v>17561.349999999999</v>
      </c>
      <c r="T21" s="1">
        <f t="shared" si="3"/>
        <v>17561.349999999999</v>
      </c>
      <c r="U21" s="1">
        <f t="shared" si="4"/>
        <v>396378</v>
      </c>
    </row>
    <row r="22" spans="1:21" x14ac:dyDescent="0.3">
      <c r="J22">
        <f>SUM(J3:J21)</f>
        <v>31978540</v>
      </c>
      <c r="K22">
        <f>SUM(K3:K21)</f>
        <v>10658447.4</v>
      </c>
      <c r="L22">
        <f>SUM(L3:L21)</f>
        <v>21320092.600000001</v>
      </c>
      <c r="M22">
        <f>SUM(M3:M21)</f>
        <v>21320092.600000001</v>
      </c>
      <c r="N22">
        <f>SUM(N3:N21)</f>
        <v>18018500</v>
      </c>
      <c r="O22" s="1">
        <f>SUM(O3:O21)</f>
        <v>491202.94999999995</v>
      </c>
      <c r="P22">
        <f>SUM(P3:P21)</f>
        <v>39829795.54999999</v>
      </c>
      <c r="Q22">
        <f>SUM(Q3:Q21)</f>
        <v>39829795.54999999</v>
      </c>
      <c r="R22" s="1">
        <f>SUM(R3:R21)</f>
        <v>2404205.4900000002</v>
      </c>
      <c r="S22">
        <f>SUM(S3:S21)</f>
        <v>0</v>
      </c>
      <c r="T22" s="1">
        <f>SUM(T3:T21)</f>
        <v>2404205.4900000002</v>
      </c>
      <c r="U22" s="1">
        <f>SUM(U3:U21)</f>
        <v>82063798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Gauthaman S</dc:creator>
  <cp:lastModifiedBy>Seetharaman M</cp:lastModifiedBy>
  <dcterms:created xsi:type="dcterms:W3CDTF">2015-06-05T18:17:20Z</dcterms:created>
  <dcterms:modified xsi:type="dcterms:W3CDTF">2026-03-29T06:55:23Z</dcterms:modified>
</cp:coreProperties>
</file>