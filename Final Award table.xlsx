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https://d.docs.live.net/2e05b8bc787d0ff6/Cursor/Data Analysis/"/>
    </mc:Choice>
  </mc:AlternateContent>
  <xr:revisionPtr revIDLastSave="28" documentId="13_ncr:1_{F0EEF754-5420-4787-8FB3-68707F437BE6}" xr6:coauthVersionLast="47" xr6:coauthVersionMax="47" xr10:uidLastSave="{FC3CBD39-BC66-4C2A-AAD9-4598FCBDCB3D}"/>
  <bookViews>
    <workbookView xWindow="-108" yWindow="-108" windowWidth="23256" windowHeight="1245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6" i="1" l="1"/>
  <c r="L36" i="1" s="1"/>
  <c r="J35" i="1"/>
  <c r="L35" i="1" s="1"/>
  <c r="J34" i="1"/>
  <c r="L34" i="1" s="1"/>
  <c r="J33" i="1"/>
  <c r="L33" i="1" s="1"/>
  <c r="J32" i="1"/>
  <c r="J31" i="1"/>
  <c r="J30" i="1"/>
  <c r="J29" i="1"/>
  <c r="J28" i="1"/>
  <c r="J27" i="1"/>
  <c r="J26" i="1"/>
  <c r="J25" i="1"/>
  <c r="L25" i="1" s="1"/>
  <c r="J24" i="1"/>
  <c r="J23" i="1"/>
  <c r="L23" i="1" s="1"/>
  <c r="J22" i="1"/>
  <c r="L22" i="1" s="1"/>
  <c r="J5" i="1"/>
  <c r="K5" i="1" s="1"/>
  <c r="L5" i="1" s="1"/>
  <c r="J6" i="1"/>
  <c r="K6" i="1" s="1"/>
  <c r="J7" i="1"/>
  <c r="J8" i="1"/>
  <c r="J9" i="1"/>
  <c r="J10" i="1"/>
  <c r="J11" i="1"/>
  <c r="J12" i="1"/>
  <c r="K12" i="1" s="1"/>
  <c r="L12" i="1" s="1"/>
  <c r="J13" i="1"/>
  <c r="K13" i="1" s="1"/>
  <c r="L13" i="1" s="1"/>
  <c r="J14" i="1"/>
  <c r="J15" i="1"/>
  <c r="K15" i="1" s="1"/>
  <c r="L15" i="1" s="1"/>
  <c r="J16" i="1"/>
  <c r="J17" i="1"/>
  <c r="K17" i="1" s="1"/>
  <c r="J18" i="1"/>
  <c r="K18" i="1" s="1"/>
  <c r="L18" i="1" s="1"/>
  <c r="J19" i="1"/>
  <c r="K19" i="1" s="1"/>
  <c r="L19" i="1" s="1"/>
  <c r="J20" i="1"/>
  <c r="K20" i="1" s="1"/>
  <c r="L20" i="1" s="1"/>
  <c r="J21" i="1"/>
  <c r="K21" i="1" s="1"/>
  <c r="L21" i="1" s="1"/>
  <c r="J4" i="1"/>
  <c r="J3" i="1"/>
  <c r="M36" i="1" l="1"/>
  <c r="P36" i="1" s="1"/>
  <c r="R36" i="1"/>
  <c r="T36" i="1" s="1"/>
  <c r="M35" i="1"/>
  <c r="P35" i="1" s="1"/>
  <c r="R35" i="1"/>
  <c r="T35" i="1" s="1"/>
  <c r="M34" i="1"/>
  <c r="P34" i="1" s="1"/>
  <c r="R34" i="1"/>
  <c r="T34" i="1" s="1"/>
  <c r="M33" i="1"/>
  <c r="P33" i="1" s="1"/>
  <c r="R33" i="1"/>
  <c r="T33" i="1" s="1"/>
  <c r="K32" i="1"/>
  <c r="L32" i="1" s="1"/>
  <c r="K31" i="1"/>
  <c r="L31" i="1" s="1"/>
  <c r="K30" i="1"/>
  <c r="L30" i="1" s="1"/>
  <c r="K29" i="1"/>
  <c r="L29" i="1" s="1"/>
  <c r="K28" i="1"/>
  <c r="L28" i="1" s="1"/>
  <c r="K27" i="1"/>
  <c r="L27" i="1" s="1"/>
  <c r="K26" i="1"/>
  <c r="L26" i="1" s="1"/>
  <c r="M25" i="1"/>
  <c r="P25" i="1" s="1"/>
  <c r="R25" i="1"/>
  <c r="T25" i="1" s="1"/>
  <c r="K24" i="1"/>
  <c r="L24" i="1" s="1"/>
  <c r="M23" i="1"/>
  <c r="P23" i="1" s="1"/>
  <c r="R23" i="1"/>
  <c r="T23" i="1" s="1"/>
  <c r="R22" i="1"/>
  <c r="T22" i="1" s="1"/>
  <c r="M22" i="1"/>
  <c r="P22" i="1" s="1"/>
  <c r="K4" i="1"/>
  <c r="L4" i="1" s="1"/>
  <c r="K3" i="1"/>
  <c r="L3" i="1" s="1"/>
  <c r="M21" i="1"/>
  <c r="P21" i="1" s="1"/>
  <c r="R21" i="1"/>
  <c r="T21" i="1" s="1"/>
  <c r="R20" i="1"/>
  <c r="T20" i="1" s="1"/>
  <c r="M20" i="1"/>
  <c r="P20" i="1" s="1"/>
  <c r="M19" i="1"/>
  <c r="P19" i="1" s="1"/>
  <c r="R19" i="1"/>
  <c r="T19" i="1" s="1"/>
  <c r="R18" i="1"/>
  <c r="T18" i="1" s="1"/>
  <c r="M18" i="1"/>
  <c r="P18" i="1" s="1"/>
  <c r="L17" i="1"/>
  <c r="K16" i="1"/>
  <c r="L16" i="1" s="1"/>
  <c r="R15" i="1"/>
  <c r="T15" i="1" s="1"/>
  <c r="M15" i="1"/>
  <c r="P15" i="1" s="1"/>
  <c r="K14" i="1"/>
  <c r="L14" i="1" s="1"/>
  <c r="R13" i="1"/>
  <c r="T13" i="1" s="1"/>
  <c r="M13" i="1"/>
  <c r="P13" i="1" s="1"/>
  <c r="R12" i="1"/>
  <c r="T12" i="1" s="1"/>
  <c r="M12" i="1"/>
  <c r="P12" i="1" s="1"/>
  <c r="K11" i="1"/>
  <c r="L11" i="1" s="1"/>
  <c r="K9" i="1"/>
  <c r="L9" i="1" s="1"/>
  <c r="K10" i="1"/>
  <c r="L10" i="1" s="1"/>
  <c r="L6" i="1"/>
  <c r="M5" i="1"/>
  <c r="P5" i="1" s="1"/>
  <c r="Q5" i="1" s="1"/>
  <c r="R5" i="1"/>
  <c r="T5" i="1" s="1"/>
  <c r="K7" i="1"/>
  <c r="L7" i="1" s="1"/>
  <c r="K8" i="1"/>
  <c r="L8" i="1" s="1"/>
  <c r="Q36" i="1" l="1"/>
  <c r="U36" i="1" s="1"/>
  <c r="Q35" i="1"/>
  <c r="U35" i="1" s="1"/>
  <c r="Q34" i="1"/>
  <c r="U34" i="1"/>
  <c r="Q33" i="1"/>
  <c r="U33" i="1"/>
  <c r="M32" i="1"/>
  <c r="P32" i="1" s="1"/>
  <c r="R32" i="1"/>
  <c r="T32" i="1" s="1"/>
  <c r="R31" i="1"/>
  <c r="T31" i="1" s="1"/>
  <c r="M31" i="1"/>
  <c r="P31" i="1" s="1"/>
  <c r="M30" i="1"/>
  <c r="P30" i="1" s="1"/>
  <c r="R30" i="1"/>
  <c r="T30" i="1" s="1"/>
  <c r="M29" i="1"/>
  <c r="P29" i="1" s="1"/>
  <c r="R29" i="1"/>
  <c r="T29" i="1" s="1"/>
  <c r="M28" i="1"/>
  <c r="P28" i="1" s="1"/>
  <c r="R28" i="1"/>
  <c r="T28" i="1" s="1"/>
  <c r="M27" i="1"/>
  <c r="P27" i="1" s="1"/>
  <c r="R27" i="1"/>
  <c r="T27" i="1" s="1"/>
  <c r="M26" i="1"/>
  <c r="P26" i="1" s="1"/>
  <c r="R26" i="1"/>
  <c r="T26" i="1" s="1"/>
  <c r="Q25" i="1"/>
  <c r="U25" i="1"/>
  <c r="M24" i="1"/>
  <c r="P24" i="1" s="1"/>
  <c r="R24" i="1"/>
  <c r="T24" i="1" s="1"/>
  <c r="Q23" i="1"/>
  <c r="U23" i="1"/>
  <c r="Q22" i="1"/>
  <c r="U22" i="1" s="1"/>
  <c r="R4" i="1"/>
  <c r="T4" i="1" s="1"/>
  <c r="M4" i="1"/>
  <c r="P4" i="1" s="1"/>
  <c r="Q4" i="1" s="1"/>
  <c r="U4" i="1" s="1"/>
  <c r="R3" i="1"/>
  <c r="M3" i="1"/>
  <c r="U5" i="1"/>
  <c r="Q21" i="1"/>
  <c r="U21" i="1" s="1"/>
  <c r="Q20" i="1"/>
  <c r="U20" i="1" s="1"/>
  <c r="Q19" i="1"/>
  <c r="U19" i="1" s="1"/>
  <c r="Q18" i="1"/>
  <c r="U18" i="1"/>
  <c r="R17" i="1"/>
  <c r="T17" i="1" s="1"/>
  <c r="M17" i="1"/>
  <c r="P17" i="1" s="1"/>
  <c r="R16" i="1"/>
  <c r="T16" i="1" s="1"/>
  <c r="M16" i="1"/>
  <c r="P16" i="1" s="1"/>
  <c r="Q15" i="1"/>
  <c r="U15" i="1" s="1"/>
  <c r="R14" i="1"/>
  <c r="T14" i="1" s="1"/>
  <c r="M14" i="1"/>
  <c r="P14" i="1" s="1"/>
  <c r="Q13" i="1"/>
  <c r="U13" i="1" s="1"/>
  <c r="Q12" i="1"/>
  <c r="U12" i="1"/>
  <c r="R11" i="1"/>
  <c r="T11" i="1" s="1"/>
  <c r="M11" i="1"/>
  <c r="P11" i="1" s="1"/>
  <c r="R9" i="1"/>
  <c r="T9" i="1" s="1"/>
  <c r="M9" i="1"/>
  <c r="P9" i="1" s="1"/>
  <c r="R10" i="1"/>
  <c r="T10" i="1" s="1"/>
  <c r="M10" i="1"/>
  <c r="P10" i="1" s="1"/>
  <c r="M8" i="1"/>
  <c r="P8" i="1" s="1"/>
  <c r="R8" i="1"/>
  <c r="T8" i="1" s="1"/>
  <c r="M7" i="1"/>
  <c r="P7" i="1" s="1"/>
  <c r="R7" i="1"/>
  <c r="T7" i="1" s="1"/>
  <c r="R6" i="1"/>
  <c r="T6" i="1" s="1"/>
  <c r="M6" i="1"/>
  <c r="P6" i="1" s="1"/>
  <c r="Q32" i="1" l="1"/>
  <c r="U32" i="1"/>
  <c r="Q31" i="1"/>
  <c r="U31" i="1"/>
  <c r="Q30" i="1"/>
  <c r="U30" i="1" s="1"/>
  <c r="Q29" i="1"/>
  <c r="U29" i="1"/>
  <c r="Q28" i="1"/>
  <c r="U28" i="1"/>
  <c r="Q27" i="1"/>
  <c r="U27" i="1" s="1"/>
  <c r="Q26" i="1"/>
  <c r="U26" i="1"/>
  <c r="Q24" i="1"/>
  <c r="U24" i="1" s="1"/>
  <c r="T3" i="1"/>
  <c r="P3" i="1"/>
  <c r="Q17" i="1"/>
  <c r="U17" i="1" s="1"/>
  <c r="Q16" i="1"/>
  <c r="U16" i="1" s="1"/>
  <c r="Q14" i="1"/>
  <c r="U14" i="1" s="1"/>
  <c r="Q11" i="1"/>
  <c r="U11" i="1" s="1"/>
  <c r="Q9" i="1"/>
  <c r="U9" i="1"/>
  <c r="Q10" i="1"/>
  <c r="U10" i="1" s="1"/>
  <c r="Q8" i="1"/>
  <c r="U8" i="1" s="1"/>
  <c r="Q7" i="1"/>
  <c r="U7" i="1" s="1"/>
  <c r="Q6" i="1"/>
  <c r="U6" i="1" s="1"/>
  <c r="Q3" i="1" l="1"/>
  <c r="U3" i="1" s="1"/>
</calcChain>
</file>

<file path=xl/sharedStrings.xml><?xml version="1.0" encoding="utf-8"?>
<sst xmlns="http://schemas.openxmlformats.org/spreadsheetml/2006/main" count="203" uniqueCount="103">
  <si>
    <t>Sl.No</t>
  </si>
  <si>
    <t>Block</t>
  </si>
  <si>
    <t>New Sub-Division</t>
  </si>
  <si>
    <t>Category</t>
  </si>
  <si>
    <t>Land Owners</t>
  </si>
  <si>
    <t>Acquired Land Area (Sqm)</t>
  </si>
  <si>
    <t>Land Value Fixed</t>
  </si>
  <si>
    <t>Land Value</t>
  </si>
  <si>
    <t>Deduction (unapproved plots)</t>
  </si>
  <si>
    <t>Remaining Amount</t>
  </si>
  <si>
    <t>Multification Factor</t>
  </si>
  <si>
    <t>Structures Value</t>
  </si>
  <si>
    <t>Tree Value</t>
  </si>
  <si>
    <t>Total Amount</t>
  </si>
  <si>
    <t>100% Solatium</t>
  </si>
  <si>
    <t>Ordinary Days (343 Days)</t>
  </si>
  <si>
    <t>Lesf year days</t>
  </si>
  <si>
    <t>Total days</t>
  </si>
  <si>
    <t>Compensation Amount</t>
  </si>
  <si>
    <t>X</t>
  </si>
  <si>
    <t>2468/1A2B</t>
  </si>
  <si>
    <t>2468/17</t>
  </si>
  <si>
    <t>Ryot Manai</t>
  </si>
  <si>
    <t>S. Manian, S. Natarajan</t>
  </si>
  <si>
    <t>2468/1A2C</t>
  </si>
  <si>
    <t>2468/18</t>
  </si>
  <si>
    <t>Alagumani</t>
  </si>
  <si>
    <t>2468/2A3A</t>
  </si>
  <si>
    <t>2468/19</t>
  </si>
  <si>
    <t>Alagumalai</t>
  </si>
  <si>
    <t>2468/2A3B</t>
  </si>
  <si>
    <t>2468/20</t>
  </si>
  <si>
    <t>Karuppaiah servai</t>
  </si>
  <si>
    <t>2468/2A3C</t>
  </si>
  <si>
    <t>2468/21</t>
  </si>
  <si>
    <t>T. Sankaralingam</t>
  </si>
  <si>
    <t>2468/2A3D</t>
  </si>
  <si>
    <t>2468/22</t>
  </si>
  <si>
    <t>K. Gnammal</t>
  </si>
  <si>
    <t>2468/2A4A</t>
  </si>
  <si>
    <t>2468/2A4D</t>
  </si>
  <si>
    <t>2468/2A4E</t>
  </si>
  <si>
    <t>2468/2A4H</t>
  </si>
  <si>
    <t>2468/2A4I</t>
  </si>
  <si>
    <t>2469/1</t>
  </si>
  <si>
    <t>2470/1C5</t>
  </si>
  <si>
    <t>2468/23</t>
  </si>
  <si>
    <t>2468/24</t>
  </si>
  <si>
    <t>2468/25</t>
  </si>
  <si>
    <t>2468/26</t>
  </si>
  <si>
    <t>2468/27</t>
  </si>
  <si>
    <t>2469/6</t>
  </si>
  <si>
    <t>2470/7</t>
  </si>
  <si>
    <t>Sarkar Manai</t>
  </si>
  <si>
    <t>Ryot Punjai</t>
  </si>
  <si>
    <t>S. Mohd Ibrahim</t>
  </si>
  <si>
    <t>V. Pandiammal</t>
  </si>
  <si>
    <t>Duraipandi</t>
  </si>
  <si>
    <t>A. Sengaisamy</t>
  </si>
  <si>
    <t>Ayyanar Koil Maniyam</t>
  </si>
  <si>
    <t>Pentacoste Sabai</t>
  </si>
  <si>
    <t>2470/2</t>
  </si>
  <si>
    <t>2471/1</t>
  </si>
  <si>
    <t>2471/2</t>
  </si>
  <si>
    <t>2470/8</t>
  </si>
  <si>
    <t>2471/3</t>
  </si>
  <si>
    <t>2471/4</t>
  </si>
  <si>
    <t>2472/2</t>
  </si>
  <si>
    <t>2473/2</t>
  </si>
  <si>
    <t>2474/2</t>
  </si>
  <si>
    <t>Pentacoste Sabai, Corporation Commissioner</t>
  </si>
  <si>
    <t>Vaigai North Bank Road Km 0/0-8/0 - Land Acquisition - Award Calculations</t>
  </si>
  <si>
    <t>Paravai</t>
  </si>
  <si>
    <t>Bit-I</t>
  </si>
  <si>
    <t>Grp-A</t>
  </si>
  <si>
    <t>102/2</t>
  </si>
  <si>
    <t>Ryot Nanjai</t>
  </si>
  <si>
    <t>Murugesan, Jayarani</t>
  </si>
  <si>
    <t>134/1</t>
  </si>
  <si>
    <t>S. Meenakshi, Viswas Promoters</t>
  </si>
  <si>
    <t>Grp-B</t>
  </si>
  <si>
    <t>165/1A1A1A1</t>
  </si>
  <si>
    <t>Patta No. 780 Ganeshan, Ramasamy, Karmegam Servai, Parangiri Servai, S.Karuppana Servai, Ramasamy Servai, Veeranan, Arumugam, Ramasamy Servai, Parangiri Servai, Veeranan Servai, M.Kamaraj, s. Surenthirakumar, j. Ari, j. Nathi, j. Aboorvan, j. Athavan, j. Athilakshmi, A. Amarnath, K. Athirai, K. Alaimagal, K. Karmegam, A. Abarna, M. Pandiselvam, R. Balumaniyam</t>
  </si>
  <si>
    <t>Grp-C</t>
  </si>
  <si>
    <t>172/2</t>
  </si>
  <si>
    <t>Patta No. 1260. R. Kalyani Ammal - Mangayarkarasi Educational Trust</t>
  </si>
  <si>
    <t>177/1</t>
  </si>
  <si>
    <t>177/2</t>
  </si>
  <si>
    <t>179/2</t>
  </si>
  <si>
    <t>180/1</t>
  </si>
  <si>
    <t>180/2</t>
  </si>
  <si>
    <t>180/3</t>
  </si>
  <si>
    <t>Bit-II</t>
  </si>
  <si>
    <t>148/2B</t>
  </si>
  <si>
    <t>T.V. Sekar</t>
  </si>
  <si>
    <t>165/2B</t>
  </si>
  <si>
    <t>S. Anabel Desousa</t>
  </si>
  <si>
    <t>167/1B</t>
  </si>
  <si>
    <t>V. Murugesan, V. Jayaraj</t>
  </si>
  <si>
    <t>167/2B</t>
  </si>
  <si>
    <t>V. Murugesan</t>
  </si>
  <si>
    <t>Village</t>
  </si>
  <si>
    <t>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</si>
</sst>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2" fontId="0" fillId="0" borderId="0" xfId="0" applyNumberFormat="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6"/>
  <sheetViews>
    <sheetView tabSelected="1" workbookViewId="0">
      <selection activeCell="D1" sqref="D1"/>
    </sheetView>
  </sheetViews>
  <sheetFormatPr defaultRowHeight="14.4" x14ac:dyDescent="0.3"/>
  <cols>
    <col min="10" max="10" width="13.6640625" bestFit="1" customWidth="1"/>
    <col min="11" max="11" width="11.33203125" customWidth="1"/>
    <col min="12" max="12" width="11.88671875" customWidth="1"/>
    <col min="13" max="13" width="11.6640625" customWidth="1"/>
    <col min="14" max="14" width="11.77734375" customWidth="1"/>
    <col min="15" max="15" width="9.5546875" bestFit="1" customWidth="1"/>
    <col min="16" max="16" width="13.33203125" customWidth="1"/>
    <col min="17" max="17" width="12.109375" customWidth="1"/>
    <col min="18" max="18" width="11.5546875" bestFit="1" customWidth="1"/>
    <col min="20" max="20" width="11.5546875" bestFit="1" customWidth="1"/>
    <col min="21" max="21" width="11.77734375" customWidth="1"/>
  </cols>
  <sheetData>
    <row r="1" spans="1:21" x14ac:dyDescent="0.3">
      <c r="A1" t="s">
        <v>71</v>
      </c>
    </row>
    <row r="2" spans="1:21" s="2" customFormat="1" ht="43.2" customHeight="1" x14ac:dyDescent="0.3">
      <c r="A2" s="2" t="s">
        <v>0</v>
      </c>
      <c r="B2" s="2" t="s">
        <v>101</v>
      </c>
      <c r="C2" s="2" t="s">
        <v>1</v>
      </c>
      <c r="D2" s="2" t="s">
        <v>102</v>
      </c>
      <c r="E2" s="2" t="s">
        <v>2</v>
      </c>
      <c r="F2" s="2" t="s">
        <v>3</v>
      </c>
      <c r="G2" s="2" t="s">
        <v>4</v>
      </c>
      <c r="H2" s="2" t="s">
        <v>5</v>
      </c>
      <c r="I2" s="2" t="s">
        <v>6</v>
      </c>
      <c r="J2" s="2" t="s">
        <v>7</v>
      </c>
      <c r="K2" s="2" t="s">
        <v>8</v>
      </c>
      <c r="L2" s="2" t="s">
        <v>9</v>
      </c>
      <c r="M2" s="2" t="s">
        <v>10</v>
      </c>
      <c r="N2" s="2" t="s">
        <v>11</v>
      </c>
      <c r="O2" s="2" t="s">
        <v>12</v>
      </c>
      <c r="P2" s="2" t="s">
        <v>13</v>
      </c>
      <c r="Q2" s="2" t="s">
        <v>14</v>
      </c>
      <c r="R2" s="2" t="s">
        <v>15</v>
      </c>
      <c r="S2" s="2" t="s">
        <v>16</v>
      </c>
      <c r="T2" s="2" t="s">
        <v>17</v>
      </c>
      <c r="U2" s="2" t="s">
        <v>18</v>
      </c>
    </row>
    <row r="3" spans="1:21" x14ac:dyDescent="0.3">
      <c r="A3">
        <v>1</v>
      </c>
      <c r="B3" t="s">
        <v>19</v>
      </c>
      <c r="C3">
        <v>64</v>
      </c>
      <c r="D3" t="s">
        <v>20</v>
      </c>
      <c r="E3" t="s">
        <v>21</v>
      </c>
      <c r="F3" t="s">
        <v>22</v>
      </c>
      <c r="G3" t="s">
        <v>23</v>
      </c>
      <c r="H3">
        <v>123</v>
      </c>
      <c r="I3">
        <v>7535</v>
      </c>
      <c r="J3">
        <f>+H3*I3</f>
        <v>926805</v>
      </c>
      <c r="K3" s="1">
        <f>+ROUND(J3*33.33%,2)</f>
        <v>308904.11</v>
      </c>
      <c r="L3" s="1">
        <f>+J3-K3</f>
        <v>617900.89</v>
      </c>
      <c r="M3" s="1">
        <f>+L3</f>
        <v>617900.89</v>
      </c>
      <c r="N3">
        <v>3189300</v>
      </c>
      <c r="O3">
        <v>0</v>
      </c>
      <c r="P3" s="1">
        <f>+M3+N3+O3</f>
        <v>3807200.89</v>
      </c>
      <c r="Q3" s="1">
        <f>+P3</f>
        <v>3807200.89</v>
      </c>
      <c r="R3" s="1">
        <f>+ROUND(L3*12/100*343/365,2)</f>
        <v>69678.91</v>
      </c>
      <c r="S3">
        <v>0</v>
      </c>
      <c r="T3" s="1">
        <f>+R3+S3</f>
        <v>69678.91</v>
      </c>
      <c r="U3" s="1">
        <f>+ROUND(P3+Q3+T3,0)</f>
        <v>7684081</v>
      </c>
    </row>
    <row r="4" spans="1:21" x14ac:dyDescent="0.3">
      <c r="A4">
        <v>2</v>
      </c>
      <c r="B4" t="s">
        <v>19</v>
      </c>
      <c r="C4">
        <v>64</v>
      </c>
      <c r="D4" t="s">
        <v>24</v>
      </c>
      <c r="E4" t="s">
        <v>25</v>
      </c>
      <c r="F4" t="s">
        <v>22</v>
      </c>
      <c r="G4" t="s">
        <v>26</v>
      </c>
      <c r="H4">
        <v>10</v>
      </c>
      <c r="I4">
        <v>7535</v>
      </c>
      <c r="J4">
        <f>+H4*I4</f>
        <v>75350</v>
      </c>
      <c r="K4" s="1">
        <f>+ROUND(J4*33.33%,2)</f>
        <v>25114.16</v>
      </c>
      <c r="L4" s="1">
        <f>+J4-K4</f>
        <v>50235.839999999997</v>
      </c>
      <c r="M4" s="1">
        <f>+L4</f>
        <v>50235.839999999997</v>
      </c>
      <c r="N4">
        <v>0</v>
      </c>
      <c r="O4">
        <v>0</v>
      </c>
      <c r="P4" s="1">
        <f t="shared" ref="P4:P36" si="0">+M4+N4+O4</f>
        <v>50235.839999999997</v>
      </c>
      <c r="Q4" s="1">
        <f t="shared" ref="Q4:Q36" si="1">+P4</f>
        <v>50235.839999999997</v>
      </c>
      <c r="R4" s="1">
        <f t="shared" ref="R4:R21" si="2">+ROUND(L4*12/100*343/365,2)</f>
        <v>5664.95</v>
      </c>
      <c r="T4" s="1">
        <f t="shared" ref="T4:T36" si="3">+R4+S4</f>
        <v>5664.95</v>
      </c>
      <c r="U4" s="1">
        <f t="shared" ref="U4:U36" si="4">+ROUND(P4+Q4+T4,0)</f>
        <v>106137</v>
      </c>
    </row>
    <row r="5" spans="1:21" x14ac:dyDescent="0.3">
      <c r="A5">
        <v>3</v>
      </c>
      <c r="B5" t="s">
        <v>19</v>
      </c>
      <c r="C5">
        <v>64</v>
      </c>
      <c r="D5" t="s">
        <v>27</v>
      </c>
      <c r="E5" t="s">
        <v>28</v>
      </c>
      <c r="F5" t="s">
        <v>22</v>
      </c>
      <c r="G5" t="s">
        <v>29</v>
      </c>
      <c r="H5">
        <v>16</v>
      </c>
      <c r="I5">
        <v>7535</v>
      </c>
      <c r="J5">
        <f t="shared" ref="J5:J36" si="5">+H5*I5</f>
        <v>120560</v>
      </c>
      <c r="K5" s="1">
        <f t="shared" ref="K5:K21" si="6">+ROUND(J5*33.33%,2)</f>
        <v>40182.65</v>
      </c>
      <c r="L5" s="1">
        <f t="shared" ref="L5:L36" si="7">+J5-K5</f>
        <v>80377.350000000006</v>
      </c>
      <c r="M5" s="1">
        <f t="shared" ref="M5:M36" si="8">+L5</f>
        <v>80377.350000000006</v>
      </c>
      <c r="P5" s="1">
        <f t="shared" si="0"/>
        <v>80377.350000000006</v>
      </c>
      <c r="Q5" s="1">
        <f t="shared" si="1"/>
        <v>80377.350000000006</v>
      </c>
      <c r="R5" s="1">
        <f t="shared" si="2"/>
        <v>9063.92</v>
      </c>
      <c r="T5" s="1">
        <f t="shared" si="3"/>
        <v>9063.92</v>
      </c>
      <c r="U5" s="1">
        <f t="shared" si="4"/>
        <v>169819</v>
      </c>
    </row>
    <row r="6" spans="1:21" x14ac:dyDescent="0.3">
      <c r="A6">
        <v>4</v>
      </c>
      <c r="B6" t="s">
        <v>19</v>
      </c>
      <c r="C6">
        <v>64</v>
      </c>
      <c r="D6" t="s">
        <v>30</v>
      </c>
      <c r="E6" t="s">
        <v>31</v>
      </c>
      <c r="F6" t="s">
        <v>22</v>
      </c>
      <c r="G6" t="s">
        <v>32</v>
      </c>
      <c r="H6">
        <v>25</v>
      </c>
      <c r="I6">
        <v>7535</v>
      </c>
      <c r="J6">
        <f t="shared" si="5"/>
        <v>188375</v>
      </c>
      <c r="K6" s="1">
        <f t="shared" si="6"/>
        <v>62785.39</v>
      </c>
      <c r="L6" s="1">
        <f t="shared" si="7"/>
        <v>125589.61</v>
      </c>
      <c r="M6" s="1">
        <f t="shared" si="8"/>
        <v>125589.61</v>
      </c>
      <c r="N6">
        <v>203100</v>
      </c>
      <c r="P6" s="1">
        <f t="shared" si="0"/>
        <v>328689.61</v>
      </c>
      <c r="Q6" s="1">
        <f t="shared" si="1"/>
        <v>328689.61</v>
      </c>
      <c r="R6" s="1">
        <f t="shared" si="2"/>
        <v>14162.38</v>
      </c>
      <c r="T6" s="1">
        <f t="shared" si="3"/>
        <v>14162.38</v>
      </c>
      <c r="U6" s="1">
        <f t="shared" si="4"/>
        <v>671542</v>
      </c>
    </row>
    <row r="7" spans="1:21" x14ac:dyDescent="0.3">
      <c r="A7">
        <v>5</v>
      </c>
      <c r="B7" t="s">
        <v>19</v>
      </c>
      <c r="C7">
        <v>64</v>
      </c>
      <c r="D7" t="s">
        <v>33</v>
      </c>
      <c r="E7" t="s">
        <v>34</v>
      </c>
      <c r="F7" t="s">
        <v>22</v>
      </c>
      <c r="G7" t="s">
        <v>35</v>
      </c>
      <c r="H7">
        <v>80</v>
      </c>
      <c r="I7">
        <v>7535</v>
      </c>
      <c r="J7">
        <f t="shared" si="5"/>
        <v>602800</v>
      </c>
      <c r="K7" s="1">
        <f t="shared" si="6"/>
        <v>200913.24</v>
      </c>
      <c r="L7" s="1">
        <f t="shared" si="7"/>
        <v>401886.76</v>
      </c>
      <c r="M7" s="1">
        <f t="shared" si="8"/>
        <v>401886.76</v>
      </c>
      <c r="N7">
        <v>1066300</v>
      </c>
      <c r="P7" s="1">
        <f t="shared" si="0"/>
        <v>1468186.76</v>
      </c>
      <c r="Q7" s="1">
        <f t="shared" si="1"/>
        <v>1468186.76</v>
      </c>
      <c r="R7" s="1">
        <f t="shared" si="2"/>
        <v>45319.61</v>
      </c>
      <c r="T7" s="1">
        <f t="shared" si="3"/>
        <v>45319.61</v>
      </c>
      <c r="U7" s="1">
        <f t="shared" si="4"/>
        <v>2981693</v>
      </c>
    </row>
    <row r="8" spans="1:21" x14ac:dyDescent="0.3">
      <c r="A8">
        <v>6</v>
      </c>
      <c r="B8" t="s">
        <v>19</v>
      </c>
      <c r="C8">
        <v>64</v>
      </c>
      <c r="D8" t="s">
        <v>36</v>
      </c>
      <c r="E8" t="s">
        <v>37</v>
      </c>
      <c r="F8" t="s">
        <v>22</v>
      </c>
      <c r="G8" t="s">
        <v>38</v>
      </c>
      <c r="H8">
        <v>7</v>
      </c>
      <c r="I8">
        <v>7535</v>
      </c>
      <c r="J8">
        <f t="shared" si="5"/>
        <v>52745</v>
      </c>
      <c r="K8" s="1">
        <f t="shared" si="6"/>
        <v>17579.91</v>
      </c>
      <c r="L8" s="1">
        <f t="shared" si="7"/>
        <v>35165.089999999997</v>
      </c>
      <c r="M8" s="1">
        <f t="shared" si="8"/>
        <v>35165.089999999997</v>
      </c>
      <c r="N8">
        <v>0</v>
      </c>
      <c r="O8">
        <v>0</v>
      </c>
      <c r="P8" s="1">
        <f t="shared" si="0"/>
        <v>35165.089999999997</v>
      </c>
      <c r="Q8" s="1">
        <f t="shared" si="1"/>
        <v>35165.089999999997</v>
      </c>
      <c r="R8" s="1">
        <f t="shared" si="2"/>
        <v>3965.47</v>
      </c>
      <c r="T8" s="1">
        <f t="shared" si="3"/>
        <v>3965.47</v>
      </c>
      <c r="U8" s="1">
        <f t="shared" si="4"/>
        <v>74296</v>
      </c>
    </row>
    <row r="9" spans="1:21" x14ac:dyDescent="0.3">
      <c r="A9">
        <v>7</v>
      </c>
      <c r="B9" t="s">
        <v>19</v>
      </c>
      <c r="C9">
        <v>64</v>
      </c>
      <c r="D9" t="s">
        <v>39</v>
      </c>
      <c r="E9" t="s">
        <v>46</v>
      </c>
      <c r="F9" t="s">
        <v>22</v>
      </c>
      <c r="G9" t="s">
        <v>38</v>
      </c>
      <c r="H9">
        <v>35</v>
      </c>
      <c r="I9">
        <v>7535</v>
      </c>
      <c r="J9">
        <f t="shared" si="5"/>
        <v>263725</v>
      </c>
      <c r="K9" s="1">
        <f t="shared" si="6"/>
        <v>87899.54</v>
      </c>
      <c r="L9" s="1">
        <f t="shared" si="7"/>
        <v>175825.46000000002</v>
      </c>
      <c r="M9" s="1">
        <f t="shared" si="8"/>
        <v>175825.46000000002</v>
      </c>
      <c r="N9">
        <v>145000</v>
      </c>
      <c r="P9" s="1">
        <f t="shared" si="0"/>
        <v>320825.46000000002</v>
      </c>
      <c r="Q9" s="1">
        <f t="shared" si="1"/>
        <v>320825.46000000002</v>
      </c>
      <c r="R9" s="1">
        <f t="shared" si="2"/>
        <v>19827.330000000002</v>
      </c>
      <c r="T9" s="1">
        <f t="shared" si="3"/>
        <v>19827.330000000002</v>
      </c>
      <c r="U9" s="1">
        <f t="shared" si="4"/>
        <v>661478</v>
      </c>
    </row>
    <row r="10" spans="1:21" x14ac:dyDescent="0.3">
      <c r="A10">
        <v>8</v>
      </c>
      <c r="B10" t="s">
        <v>19</v>
      </c>
      <c r="C10">
        <v>64</v>
      </c>
      <c r="D10" t="s">
        <v>40</v>
      </c>
      <c r="E10" t="s">
        <v>47</v>
      </c>
      <c r="F10" t="s">
        <v>53</v>
      </c>
      <c r="G10" t="s">
        <v>55</v>
      </c>
      <c r="H10">
        <v>25</v>
      </c>
      <c r="I10">
        <v>7535</v>
      </c>
      <c r="J10">
        <f t="shared" si="5"/>
        <v>188375</v>
      </c>
      <c r="K10" s="1">
        <f t="shared" si="6"/>
        <v>62785.39</v>
      </c>
      <c r="L10" s="1">
        <f t="shared" si="7"/>
        <v>125589.61</v>
      </c>
      <c r="M10" s="1">
        <f t="shared" si="8"/>
        <v>125589.61</v>
      </c>
      <c r="N10">
        <v>82700</v>
      </c>
      <c r="P10" s="1">
        <f t="shared" si="0"/>
        <v>208289.61</v>
      </c>
      <c r="Q10" s="1">
        <f t="shared" si="1"/>
        <v>208289.61</v>
      </c>
      <c r="R10" s="1">
        <f t="shared" si="2"/>
        <v>14162.38</v>
      </c>
      <c r="T10" s="1">
        <f t="shared" si="3"/>
        <v>14162.38</v>
      </c>
      <c r="U10" s="1">
        <f t="shared" si="4"/>
        <v>430742</v>
      </c>
    </row>
    <row r="11" spans="1:21" x14ac:dyDescent="0.3">
      <c r="A11">
        <v>9</v>
      </c>
      <c r="B11" t="s">
        <v>19</v>
      </c>
      <c r="C11">
        <v>64</v>
      </c>
      <c r="D11" t="s">
        <v>41</v>
      </c>
      <c r="E11" t="s">
        <v>48</v>
      </c>
      <c r="F11" t="s">
        <v>22</v>
      </c>
      <c r="G11" t="s">
        <v>56</v>
      </c>
      <c r="H11">
        <v>18</v>
      </c>
      <c r="I11">
        <v>7535</v>
      </c>
      <c r="J11">
        <f t="shared" si="5"/>
        <v>135630</v>
      </c>
      <c r="K11" s="1">
        <f t="shared" si="6"/>
        <v>45205.48</v>
      </c>
      <c r="L11" s="1">
        <f t="shared" si="7"/>
        <v>90424.51999999999</v>
      </c>
      <c r="M11" s="1">
        <f t="shared" si="8"/>
        <v>90424.51999999999</v>
      </c>
      <c r="N11">
        <v>0</v>
      </c>
      <c r="P11" s="1">
        <f t="shared" si="0"/>
        <v>90424.51999999999</v>
      </c>
      <c r="Q11" s="1">
        <f t="shared" si="1"/>
        <v>90424.51999999999</v>
      </c>
      <c r="R11" s="1">
        <f t="shared" si="2"/>
        <v>10196.91</v>
      </c>
      <c r="T11" s="1">
        <f t="shared" si="3"/>
        <v>10196.91</v>
      </c>
      <c r="U11" s="1">
        <f t="shared" si="4"/>
        <v>191046</v>
      </c>
    </row>
    <row r="12" spans="1:21" x14ac:dyDescent="0.3">
      <c r="A12">
        <v>10</v>
      </c>
      <c r="B12" t="s">
        <v>19</v>
      </c>
      <c r="C12">
        <v>64</v>
      </c>
      <c r="D12" t="s">
        <v>42</v>
      </c>
      <c r="E12" t="s">
        <v>49</v>
      </c>
      <c r="F12" t="s">
        <v>22</v>
      </c>
      <c r="G12" t="s">
        <v>57</v>
      </c>
      <c r="H12">
        <v>18</v>
      </c>
      <c r="I12">
        <v>7535</v>
      </c>
      <c r="J12">
        <f t="shared" si="5"/>
        <v>135630</v>
      </c>
      <c r="K12" s="1">
        <f t="shared" si="6"/>
        <v>45205.48</v>
      </c>
      <c r="L12" s="1">
        <f t="shared" si="7"/>
        <v>90424.51999999999</v>
      </c>
      <c r="M12" s="1">
        <f t="shared" si="8"/>
        <v>90424.51999999999</v>
      </c>
      <c r="N12">
        <v>210700</v>
      </c>
      <c r="P12" s="1">
        <f t="shared" si="0"/>
        <v>301124.52</v>
      </c>
      <c r="Q12" s="1">
        <f t="shared" si="1"/>
        <v>301124.52</v>
      </c>
      <c r="R12" s="1">
        <f t="shared" si="2"/>
        <v>10196.91</v>
      </c>
      <c r="T12" s="1">
        <f t="shared" si="3"/>
        <v>10196.91</v>
      </c>
      <c r="U12" s="1">
        <f t="shared" si="4"/>
        <v>612446</v>
      </c>
    </row>
    <row r="13" spans="1:21" x14ac:dyDescent="0.3">
      <c r="A13">
        <v>11</v>
      </c>
      <c r="B13" t="s">
        <v>19</v>
      </c>
      <c r="C13">
        <v>64</v>
      </c>
      <c r="D13" t="s">
        <v>43</v>
      </c>
      <c r="E13" t="s">
        <v>50</v>
      </c>
      <c r="F13" t="s">
        <v>22</v>
      </c>
      <c r="G13" t="s">
        <v>58</v>
      </c>
      <c r="H13">
        <v>18</v>
      </c>
      <c r="I13">
        <v>7535</v>
      </c>
      <c r="J13">
        <f t="shared" si="5"/>
        <v>135630</v>
      </c>
      <c r="K13" s="1">
        <f t="shared" si="6"/>
        <v>45205.48</v>
      </c>
      <c r="L13" s="1">
        <f t="shared" si="7"/>
        <v>90424.51999999999</v>
      </c>
      <c r="M13" s="1">
        <f t="shared" si="8"/>
        <v>90424.51999999999</v>
      </c>
      <c r="N13">
        <v>189000</v>
      </c>
      <c r="P13" s="1">
        <f t="shared" si="0"/>
        <v>279424.52</v>
      </c>
      <c r="Q13" s="1">
        <f t="shared" si="1"/>
        <v>279424.52</v>
      </c>
      <c r="R13" s="1">
        <f t="shared" si="2"/>
        <v>10196.91</v>
      </c>
      <c r="T13" s="1">
        <f t="shared" si="3"/>
        <v>10196.91</v>
      </c>
      <c r="U13" s="1">
        <f t="shared" si="4"/>
        <v>569046</v>
      </c>
    </row>
    <row r="14" spans="1:21" x14ac:dyDescent="0.3">
      <c r="A14">
        <v>12</v>
      </c>
      <c r="B14" t="s">
        <v>19</v>
      </c>
      <c r="C14">
        <v>64</v>
      </c>
      <c r="D14" t="s">
        <v>44</v>
      </c>
      <c r="E14" t="s">
        <v>51</v>
      </c>
      <c r="F14" t="s">
        <v>53</v>
      </c>
      <c r="G14" t="s">
        <v>59</v>
      </c>
      <c r="H14">
        <v>640</v>
      </c>
      <c r="I14">
        <v>7535</v>
      </c>
      <c r="J14">
        <f t="shared" si="5"/>
        <v>4822400</v>
      </c>
      <c r="K14" s="1">
        <f t="shared" si="6"/>
        <v>1607305.92</v>
      </c>
      <c r="L14" s="1">
        <f t="shared" si="7"/>
        <v>3215094.08</v>
      </c>
      <c r="M14" s="1">
        <f t="shared" si="8"/>
        <v>3215094.08</v>
      </c>
      <c r="N14">
        <v>6957700</v>
      </c>
      <c r="O14">
        <v>4900.9799999999996</v>
      </c>
      <c r="P14" s="1">
        <f t="shared" si="0"/>
        <v>10177695.060000001</v>
      </c>
      <c r="Q14" s="1">
        <f t="shared" si="1"/>
        <v>10177695.060000001</v>
      </c>
      <c r="R14" s="1">
        <f t="shared" si="2"/>
        <v>362556.91</v>
      </c>
      <c r="T14" s="1">
        <f t="shared" si="3"/>
        <v>362556.91</v>
      </c>
      <c r="U14" s="1">
        <f t="shared" si="4"/>
        <v>20717947</v>
      </c>
    </row>
    <row r="15" spans="1:21" x14ac:dyDescent="0.3">
      <c r="A15">
        <v>13</v>
      </c>
      <c r="B15" t="s">
        <v>19</v>
      </c>
      <c r="C15">
        <v>64</v>
      </c>
      <c r="D15" t="s">
        <v>45</v>
      </c>
      <c r="E15" t="s">
        <v>52</v>
      </c>
      <c r="F15" t="s">
        <v>54</v>
      </c>
      <c r="G15" t="s">
        <v>60</v>
      </c>
      <c r="H15">
        <v>1417</v>
      </c>
      <c r="I15">
        <v>7535</v>
      </c>
      <c r="J15">
        <f t="shared" si="5"/>
        <v>10677095</v>
      </c>
      <c r="K15" s="1">
        <f t="shared" si="6"/>
        <v>3558675.76</v>
      </c>
      <c r="L15" s="1">
        <f t="shared" si="7"/>
        <v>7118419.2400000002</v>
      </c>
      <c r="M15" s="1">
        <f t="shared" si="8"/>
        <v>7118419.2400000002</v>
      </c>
      <c r="N15">
        <v>5366700</v>
      </c>
      <c r="O15" s="1">
        <v>16278</v>
      </c>
      <c r="P15" s="1">
        <f t="shared" si="0"/>
        <v>12501397.24</v>
      </c>
      <c r="Q15" s="1">
        <f t="shared" si="1"/>
        <v>12501397.24</v>
      </c>
      <c r="R15" s="1">
        <f t="shared" si="2"/>
        <v>802723.66</v>
      </c>
      <c r="T15" s="1">
        <f t="shared" si="3"/>
        <v>802723.66</v>
      </c>
      <c r="U15" s="1">
        <f t="shared" si="4"/>
        <v>25805518</v>
      </c>
    </row>
    <row r="16" spans="1:21" x14ac:dyDescent="0.3">
      <c r="A16">
        <v>14</v>
      </c>
      <c r="B16" t="s">
        <v>19</v>
      </c>
      <c r="C16">
        <v>64</v>
      </c>
      <c r="D16" t="s">
        <v>61</v>
      </c>
      <c r="E16" t="s">
        <v>64</v>
      </c>
      <c r="F16" t="s">
        <v>54</v>
      </c>
      <c r="G16" t="s">
        <v>59</v>
      </c>
      <c r="H16">
        <v>401</v>
      </c>
      <c r="I16">
        <v>7535</v>
      </c>
      <c r="J16">
        <f t="shared" si="5"/>
        <v>3021535</v>
      </c>
      <c r="K16" s="1">
        <f t="shared" si="6"/>
        <v>1007077.62</v>
      </c>
      <c r="L16" s="1">
        <f t="shared" si="7"/>
        <v>2014457.38</v>
      </c>
      <c r="M16" s="1">
        <f t="shared" si="8"/>
        <v>2014457.38</v>
      </c>
      <c r="N16">
        <v>0</v>
      </c>
      <c r="O16" s="1">
        <v>0</v>
      </c>
      <c r="P16" s="1">
        <f t="shared" si="0"/>
        <v>2014457.38</v>
      </c>
      <c r="Q16" s="1">
        <f t="shared" si="1"/>
        <v>2014457.38</v>
      </c>
      <c r="R16" s="1">
        <f t="shared" si="2"/>
        <v>227164.56</v>
      </c>
      <c r="T16" s="1">
        <f t="shared" si="3"/>
        <v>227164.56</v>
      </c>
      <c r="U16" s="1">
        <f t="shared" si="4"/>
        <v>4256079</v>
      </c>
    </row>
    <row r="17" spans="1:21" x14ac:dyDescent="0.3">
      <c r="A17">
        <v>15</v>
      </c>
      <c r="B17" t="s">
        <v>19</v>
      </c>
      <c r="C17">
        <v>64</v>
      </c>
      <c r="D17" t="s">
        <v>62</v>
      </c>
      <c r="E17" t="s">
        <v>65</v>
      </c>
      <c r="F17" t="s">
        <v>54</v>
      </c>
      <c r="G17" t="s">
        <v>70</v>
      </c>
      <c r="H17">
        <v>267</v>
      </c>
      <c r="I17">
        <v>7535</v>
      </c>
      <c r="J17">
        <f t="shared" si="5"/>
        <v>2011845</v>
      </c>
      <c r="K17" s="1">
        <f t="shared" si="6"/>
        <v>670547.93999999994</v>
      </c>
      <c r="L17" s="1">
        <f t="shared" si="7"/>
        <v>1341297.06</v>
      </c>
      <c r="M17" s="1">
        <f t="shared" si="8"/>
        <v>1341297.06</v>
      </c>
      <c r="N17">
        <v>0</v>
      </c>
      <c r="O17" s="1">
        <v>77696</v>
      </c>
      <c r="P17" s="1">
        <f t="shared" si="0"/>
        <v>1418993.06</v>
      </c>
      <c r="Q17" s="1">
        <f t="shared" si="1"/>
        <v>1418993.06</v>
      </c>
      <c r="R17" s="1">
        <f t="shared" si="2"/>
        <v>151254.21</v>
      </c>
      <c r="T17" s="1">
        <f t="shared" si="3"/>
        <v>151254.21</v>
      </c>
      <c r="U17" s="1">
        <f t="shared" si="4"/>
        <v>2989240</v>
      </c>
    </row>
    <row r="18" spans="1:21" x14ac:dyDescent="0.3">
      <c r="A18">
        <v>16</v>
      </c>
      <c r="B18" t="s">
        <v>19</v>
      </c>
      <c r="C18">
        <v>64</v>
      </c>
      <c r="D18" t="s">
        <v>63</v>
      </c>
      <c r="E18" t="s">
        <v>66</v>
      </c>
      <c r="F18" t="s">
        <v>54</v>
      </c>
      <c r="G18" t="s">
        <v>60</v>
      </c>
      <c r="H18">
        <v>331</v>
      </c>
      <c r="I18">
        <v>7535</v>
      </c>
      <c r="J18">
        <f t="shared" si="5"/>
        <v>2494085</v>
      </c>
      <c r="K18" s="1">
        <f t="shared" si="6"/>
        <v>831278.53</v>
      </c>
      <c r="L18" s="1">
        <f t="shared" si="7"/>
        <v>1662806.47</v>
      </c>
      <c r="M18" s="1">
        <f t="shared" si="8"/>
        <v>1662806.47</v>
      </c>
      <c r="N18">
        <v>0</v>
      </c>
      <c r="O18" s="1">
        <v>89354</v>
      </c>
      <c r="P18" s="1">
        <f t="shared" si="0"/>
        <v>1752160.47</v>
      </c>
      <c r="Q18" s="1">
        <f t="shared" si="1"/>
        <v>1752160.47</v>
      </c>
      <c r="R18" s="1">
        <f t="shared" si="2"/>
        <v>187509.9</v>
      </c>
      <c r="T18" s="1">
        <f t="shared" si="3"/>
        <v>187509.9</v>
      </c>
      <c r="U18" s="1">
        <f t="shared" si="4"/>
        <v>3691831</v>
      </c>
    </row>
    <row r="19" spans="1:21" x14ac:dyDescent="0.3">
      <c r="A19">
        <v>17</v>
      </c>
      <c r="B19" t="s">
        <v>19</v>
      </c>
      <c r="C19">
        <v>64</v>
      </c>
      <c r="D19">
        <v>2472</v>
      </c>
      <c r="E19" t="s">
        <v>67</v>
      </c>
      <c r="F19" t="s">
        <v>54</v>
      </c>
      <c r="G19" t="s">
        <v>60</v>
      </c>
      <c r="H19">
        <v>466</v>
      </c>
      <c r="I19">
        <v>7535</v>
      </c>
      <c r="J19">
        <f t="shared" si="5"/>
        <v>3511310</v>
      </c>
      <c r="K19" s="1">
        <f t="shared" si="6"/>
        <v>1170319.6200000001</v>
      </c>
      <c r="L19" s="1">
        <f t="shared" si="7"/>
        <v>2340990.38</v>
      </c>
      <c r="M19" s="1">
        <f t="shared" si="8"/>
        <v>2340990.38</v>
      </c>
      <c r="N19">
        <v>313400</v>
      </c>
      <c r="O19" s="1">
        <v>167599.99</v>
      </c>
      <c r="P19" s="1">
        <f t="shared" si="0"/>
        <v>2821990.37</v>
      </c>
      <c r="Q19" s="1">
        <f t="shared" si="1"/>
        <v>2821990.37</v>
      </c>
      <c r="R19" s="1">
        <f t="shared" si="2"/>
        <v>263986.75</v>
      </c>
      <c r="T19" s="1">
        <f t="shared" si="3"/>
        <v>263986.75</v>
      </c>
      <c r="U19" s="1">
        <f t="shared" si="4"/>
        <v>5907967</v>
      </c>
    </row>
    <row r="20" spans="1:21" x14ac:dyDescent="0.3">
      <c r="A20">
        <v>18</v>
      </c>
      <c r="B20" t="s">
        <v>19</v>
      </c>
      <c r="C20">
        <v>64</v>
      </c>
      <c r="D20">
        <v>2473</v>
      </c>
      <c r="E20" t="s">
        <v>68</v>
      </c>
      <c r="F20" t="s">
        <v>54</v>
      </c>
      <c r="G20" t="s">
        <v>60</v>
      </c>
      <c r="H20">
        <v>316</v>
      </c>
      <c r="I20">
        <v>7535</v>
      </c>
      <c r="J20">
        <f t="shared" si="5"/>
        <v>2381060</v>
      </c>
      <c r="K20" s="1">
        <f t="shared" si="6"/>
        <v>793607.3</v>
      </c>
      <c r="L20" s="1">
        <f t="shared" si="7"/>
        <v>1587452.7</v>
      </c>
      <c r="M20" s="1">
        <f t="shared" si="8"/>
        <v>1587452.7</v>
      </c>
      <c r="N20">
        <v>294600</v>
      </c>
      <c r="O20" s="1">
        <v>101696.98</v>
      </c>
      <c r="P20" s="1">
        <f t="shared" si="0"/>
        <v>1983749.68</v>
      </c>
      <c r="Q20" s="1">
        <f t="shared" si="1"/>
        <v>1983749.68</v>
      </c>
      <c r="R20" s="1">
        <f t="shared" si="2"/>
        <v>179012.47</v>
      </c>
      <c r="T20" s="1">
        <f t="shared" si="3"/>
        <v>179012.47</v>
      </c>
      <c r="U20" s="1">
        <f t="shared" si="4"/>
        <v>4146512</v>
      </c>
    </row>
    <row r="21" spans="1:21" x14ac:dyDescent="0.3">
      <c r="A21">
        <v>19</v>
      </c>
      <c r="B21" t="s">
        <v>19</v>
      </c>
      <c r="C21">
        <v>64</v>
      </c>
      <c r="D21">
        <v>2474</v>
      </c>
      <c r="E21" t="s">
        <v>69</v>
      </c>
      <c r="F21" t="s">
        <v>54</v>
      </c>
      <c r="G21" t="s">
        <v>60</v>
      </c>
      <c r="H21">
        <v>31</v>
      </c>
      <c r="I21">
        <v>7535</v>
      </c>
      <c r="J21">
        <f t="shared" si="5"/>
        <v>233585</v>
      </c>
      <c r="K21" s="1">
        <f t="shared" si="6"/>
        <v>77853.88</v>
      </c>
      <c r="L21" s="1">
        <f t="shared" si="7"/>
        <v>155731.12</v>
      </c>
      <c r="M21" s="1">
        <f t="shared" si="8"/>
        <v>155731.12</v>
      </c>
      <c r="N21">
        <v>0</v>
      </c>
      <c r="O21" s="1">
        <v>33677</v>
      </c>
      <c r="P21" s="1">
        <f t="shared" si="0"/>
        <v>189408.12</v>
      </c>
      <c r="Q21" s="1">
        <f t="shared" si="1"/>
        <v>189408.12</v>
      </c>
      <c r="R21" s="1">
        <f t="shared" si="2"/>
        <v>17561.349999999999</v>
      </c>
      <c r="T21" s="1">
        <f t="shared" si="3"/>
        <v>17561.349999999999</v>
      </c>
      <c r="U21" s="1">
        <f t="shared" si="4"/>
        <v>396378</v>
      </c>
    </row>
    <row r="22" spans="1:21" x14ac:dyDescent="0.3">
      <c r="A22">
        <v>27</v>
      </c>
      <c r="B22" t="s">
        <v>72</v>
      </c>
      <c r="C22" t="s">
        <v>73</v>
      </c>
      <c r="D22" t="s">
        <v>74</v>
      </c>
      <c r="E22" t="s">
        <v>75</v>
      </c>
      <c r="F22" t="s">
        <v>76</v>
      </c>
      <c r="G22" t="s">
        <v>77</v>
      </c>
      <c r="H22">
        <v>30</v>
      </c>
      <c r="I22">
        <v>496.7</v>
      </c>
      <c r="J22">
        <f t="shared" si="5"/>
        <v>14901</v>
      </c>
      <c r="K22" s="1">
        <v>0</v>
      </c>
      <c r="L22" s="1">
        <f t="shared" si="7"/>
        <v>14901</v>
      </c>
      <c r="M22" s="1">
        <f t="shared" si="8"/>
        <v>14901</v>
      </c>
      <c r="N22">
        <v>0</v>
      </c>
      <c r="O22" s="1">
        <v>0</v>
      </c>
      <c r="P22" s="1">
        <f t="shared" si="0"/>
        <v>14901</v>
      </c>
      <c r="Q22" s="1">
        <f t="shared" si="1"/>
        <v>14901</v>
      </c>
      <c r="R22" s="1">
        <f>+ROUND(L22*12/100*324/365,2)</f>
        <v>1587.26</v>
      </c>
      <c r="S22">
        <v>0</v>
      </c>
      <c r="T22" s="1">
        <f t="shared" si="3"/>
        <v>1587.26</v>
      </c>
      <c r="U22" s="1">
        <f t="shared" si="4"/>
        <v>31389</v>
      </c>
    </row>
    <row r="23" spans="1:21" x14ac:dyDescent="0.3">
      <c r="A23">
        <v>28</v>
      </c>
      <c r="B23" t="s">
        <v>72</v>
      </c>
      <c r="C23" t="s">
        <v>73</v>
      </c>
      <c r="D23" t="s">
        <v>74</v>
      </c>
      <c r="E23" t="s">
        <v>78</v>
      </c>
      <c r="F23" t="s">
        <v>76</v>
      </c>
      <c r="G23" t="s">
        <v>79</v>
      </c>
      <c r="H23">
        <v>3785</v>
      </c>
      <c r="I23">
        <v>496.7</v>
      </c>
      <c r="J23">
        <f t="shared" si="5"/>
        <v>1880009.5</v>
      </c>
      <c r="K23">
        <v>0</v>
      </c>
      <c r="L23" s="1">
        <f t="shared" si="7"/>
        <v>1880009.5</v>
      </c>
      <c r="M23" s="1">
        <f t="shared" si="8"/>
        <v>1880009.5</v>
      </c>
      <c r="N23">
        <v>0</v>
      </c>
      <c r="O23" s="1">
        <v>0</v>
      </c>
      <c r="P23" s="1">
        <f t="shared" si="0"/>
        <v>1880009.5</v>
      </c>
      <c r="Q23" s="1">
        <f t="shared" si="1"/>
        <v>1880009.5</v>
      </c>
      <c r="R23" s="1">
        <f>+ROUND(L23*12/100*324/365,2)</f>
        <v>200259.64</v>
      </c>
      <c r="S23">
        <v>0</v>
      </c>
      <c r="T23" s="1">
        <f t="shared" si="3"/>
        <v>200259.64</v>
      </c>
      <c r="U23" s="1">
        <f t="shared" si="4"/>
        <v>3960279</v>
      </c>
    </row>
    <row r="24" spans="1:21" x14ac:dyDescent="0.3">
      <c r="A24">
        <v>30</v>
      </c>
      <c r="B24" t="s">
        <v>72</v>
      </c>
      <c r="C24" t="s">
        <v>73</v>
      </c>
      <c r="D24" t="s">
        <v>80</v>
      </c>
      <c r="E24" t="s">
        <v>81</v>
      </c>
      <c r="F24" t="s">
        <v>54</v>
      </c>
      <c r="G24" t="s">
        <v>82</v>
      </c>
      <c r="H24">
        <v>675</v>
      </c>
      <c r="I24">
        <v>2695</v>
      </c>
      <c r="J24">
        <f t="shared" si="5"/>
        <v>1819125</v>
      </c>
      <c r="K24" s="1">
        <f t="shared" ref="K24:K32" si="9">+ROUND(J24*33.33%,2)</f>
        <v>606314.36</v>
      </c>
      <c r="L24" s="1">
        <f t="shared" si="7"/>
        <v>1212810.6400000001</v>
      </c>
      <c r="M24" s="1">
        <f t="shared" si="8"/>
        <v>1212810.6400000001</v>
      </c>
      <c r="N24">
        <v>0</v>
      </c>
      <c r="O24" s="1">
        <v>0</v>
      </c>
      <c r="P24" s="1">
        <f t="shared" si="0"/>
        <v>1212810.6400000001</v>
      </c>
      <c r="Q24" s="1">
        <f t="shared" si="1"/>
        <v>1212810.6400000001</v>
      </c>
      <c r="R24" s="1">
        <f>+ROUND(L24*12/100*336/365,2)</f>
        <v>133974.04</v>
      </c>
      <c r="S24">
        <v>0</v>
      </c>
      <c r="T24" s="1">
        <f t="shared" si="3"/>
        <v>133974.04</v>
      </c>
      <c r="U24" s="1">
        <f t="shared" si="4"/>
        <v>2559595</v>
      </c>
    </row>
    <row r="25" spans="1:21" x14ac:dyDescent="0.3">
      <c r="A25">
        <v>31</v>
      </c>
      <c r="B25" t="s">
        <v>72</v>
      </c>
      <c r="C25" t="s">
        <v>73</v>
      </c>
      <c r="D25" t="s">
        <v>83</v>
      </c>
      <c r="E25" t="s">
        <v>84</v>
      </c>
      <c r="F25" t="s">
        <v>54</v>
      </c>
      <c r="G25" t="s">
        <v>85</v>
      </c>
      <c r="H25">
        <v>1530</v>
      </c>
      <c r="I25">
        <v>4845</v>
      </c>
      <c r="J25">
        <f t="shared" si="5"/>
        <v>7412850</v>
      </c>
      <c r="K25">
        <v>0</v>
      </c>
      <c r="L25" s="1">
        <f t="shared" si="7"/>
        <v>7412850</v>
      </c>
      <c r="M25" s="1">
        <f t="shared" si="8"/>
        <v>7412850</v>
      </c>
      <c r="N25">
        <v>0</v>
      </c>
      <c r="O25" s="1">
        <v>0</v>
      </c>
      <c r="P25" s="1">
        <f t="shared" si="0"/>
        <v>7412850</v>
      </c>
      <c r="Q25" s="1">
        <f t="shared" si="1"/>
        <v>7412850</v>
      </c>
      <c r="R25" s="1">
        <f>+ROUND(L25*12/100*324/365,2)</f>
        <v>789620.84</v>
      </c>
      <c r="S25">
        <v>0</v>
      </c>
      <c r="T25" s="1">
        <f t="shared" si="3"/>
        <v>789620.84</v>
      </c>
      <c r="U25" s="1">
        <f t="shared" si="4"/>
        <v>15615321</v>
      </c>
    </row>
    <row r="26" spans="1:21" x14ac:dyDescent="0.3">
      <c r="A26">
        <v>32</v>
      </c>
      <c r="B26" t="s">
        <v>72</v>
      </c>
      <c r="C26" t="s">
        <v>73</v>
      </c>
      <c r="D26" t="s">
        <v>83</v>
      </c>
      <c r="E26" t="s">
        <v>86</v>
      </c>
      <c r="F26" t="s">
        <v>54</v>
      </c>
      <c r="G26" t="s">
        <v>85</v>
      </c>
      <c r="H26">
        <v>1578</v>
      </c>
      <c r="I26">
        <v>4845</v>
      </c>
      <c r="J26">
        <f t="shared" si="5"/>
        <v>7645410</v>
      </c>
      <c r="K26" s="1">
        <f t="shared" si="9"/>
        <v>2548215.15</v>
      </c>
      <c r="L26" s="1">
        <f t="shared" si="7"/>
        <v>5097194.8499999996</v>
      </c>
      <c r="M26" s="1">
        <f t="shared" si="8"/>
        <v>5097194.8499999996</v>
      </c>
      <c r="N26">
        <v>0</v>
      </c>
      <c r="O26" s="1">
        <v>0</v>
      </c>
      <c r="P26" s="1">
        <f t="shared" si="0"/>
        <v>5097194.8499999996</v>
      </c>
      <c r="Q26" s="1">
        <f t="shared" si="1"/>
        <v>5097194.8499999996</v>
      </c>
      <c r="R26" s="1">
        <f t="shared" ref="R26:R32" si="10">+ROUND(L26*12/100*324/365,2)</f>
        <v>542955.99</v>
      </c>
      <c r="S26">
        <v>0</v>
      </c>
      <c r="T26" s="1">
        <f t="shared" si="3"/>
        <v>542955.99</v>
      </c>
      <c r="U26" s="1">
        <f t="shared" si="4"/>
        <v>10737346</v>
      </c>
    </row>
    <row r="27" spans="1:21" x14ac:dyDescent="0.3">
      <c r="A27">
        <v>33</v>
      </c>
      <c r="B27" t="s">
        <v>72</v>
      </c>
      <c r="C27" t="s">
        <v>73</v>
      </c>
      <c r="D27" t="s">
        <v>83</v>
      </c>
      <c r="E27" t="s">
        <v>87</v>
      </c>
      <c r="F27" t="s">
        <v>54</v>
      </c>
      <c r="G27" t="s">
        <v>85</v>
      </c>
      <c r="H27">
        <v>2224</v>
      </c>
      <c r="I27">
        <v>4845</v>
      </c>
      <c r="J27">
        <f t="shared" si="5"/>
        <v>10775280</v>
      </c>
      <c r="K27" s="1">
        <f t="shared" si="9"/>
        <v>3591400.82</v>
      </c>
      <c r="L27" s="1">
        <f t="shared" si="7"/>
        <v>7183879.1799999997</v>
      </c>
      <c r="M27" s="1">
        <f t="shared" si="8"/>
        <v>7183879.1799999997</v>
      </c>
      <c r="N27">
        <v>0</v>
      </c>
      <c r="O27" s="1">
        <v>0</v>
      </c>
      <c r="P27" s="1">
        <f t="shared" si="0"/>
        <v>7183879.1799999997</v>
      </c>
      <c r="Q27" s="1">
        <f t="shared" si="1"/>
        <v>7183879.1799999997</v>
      </c>
      <c r="R27" s="1">
        <f t="shared" si="10"/>
        <v>765230.75</v>
      </c>
      <c r="S27">
        <v>0</v>
      </c>
      <c r="T27" s="1">
        <f t="shared" si="3"/>
        <v>765230.75</v>
      </c>
      <c r="U27" s="1">
        <f t="shared" si="4"/>
        <v>15132989</v>
      </c>
    </row>
    <row r="28" spans="1:21" x14ac:dyDescent="0.3">
      <c r="A28">
        <v>34</v>
      </c>
      <c r="B28" t="s">
        <v>72</v>
      </c>
      <c r="C28" t="s">
        <v>73</v>
      </c>
      <c r="D28" t="s">
        <v>83</v>
      </c>
      <c r="E28">
        <v>178</v>
      </c>
      <c r="F28" t="s">
        <v>54</v>
      </c>
      <c r="G28" t="s">
        <v>85</v>
      </c>
      <c r="H28">
        <v>3380</v>
      </c>
      <c r="I28">
        <v>4845</v>
      </c>
      <c r="J28">
        <f t="shared" si="5"/>
        <v>16376100</v>
      </c>
      <c r="K28" s="1">
        <f t="shared" si="9"/>
        <v>5458154.1299999999</v>
      </c>
      <c r="L28" s="1">
        <f t="shared" si="7"/>
        <v>10917945.870000001</v>
      </c>
      <c r="M28" s="1">
        <f t="shared" si="8"/>
        <v>10917945.870000001</v>
      </c>
      <c r="N28">
        <v>0</v>
      </c>
      <c r="O28" s="1">
        <v>0</v>
      </c>
      <c r="P28" s="1">
        <f t="shared" si="0"/>
        <v>10917945.870000001</v>
      </c>
      <c r="Q28" s="1">
        <f t="shared" si="1"/>
        <v>10917945.870000001</v>
      </c>
      <c r="R28" s="1">
        <f t="shared" si="10"/>
        <v>1162985.58</v>
      </c>
      <c r="S28">
        <v>0</v>
      </c>
      <c r="T28" s="1">
        <f t="shared" si="3"/>
        <v>1162985.58</v>
      </c>
      <c r="U28" s="1">
        <f t="shared" si="4"/>
        <v>22998877</v>
      </c>
    </row>
    <row r="29" spans="1:21" x14ac:dyDescent="0.3">
      <c r="A29">
        <v>35</v>
      </c>
      <c r="B29" t="s">
        <v>72</v>
      </c>
      <c r="C29" t="s">
        <v>73</v>
      </c>
      <c r="D29" t="s">
        <v>83</v>
      </c>
      <c r="E29" t="s">
        <v>88</v>
      </c>
      <c r="F29" t="s">
        <v>54</v>
      </c>
      <c r="G29" t="s">
        <v>85</v>
      </c>
      <c r="H29">
        <v>5450</v>
      </c>
      <c r="I29">
        <v>4845</v>
      </c>
      <c r="J29">
        <f t="shared" si="5"/>
        <v>26405250</v>
      </c>
      <c r="K29" s="1">
        <f t="shared" si="9"/>
        <v>8800869.8300000001</v>
      </c>
      <c r="L29" s="1">
        <f t="shared" si="7"/>
        <v>17604380.170000002</v>
      </c>
      <c r="M29" s="1">
        <f t="shared" si="8"/>
        <v>17604380.170000002</v>
      </c>
      <c r="N29">
        <v>0</v>
      </c>
      <c r="O29" s="1">
        <v>1298</v>
      </c>
      <c r="P29" s="1">
        <f t="shared" si="0"/>
        <v>17605678.170000002</v>
      </c>
      <c r="Q29" s="1">
        <f t="shared" si="1"/>
        <v>17605678.170000002</v>
      </c>
      <c r="R29" s="1">
        <f t="shared" si="10"/>
        <v>1875228.22</v>
      </c>
      <c r="S29">
        <v>0</v>
      </c>
      <c r="T29" s="1">
        <f t="shared" si="3"/>
        <v>1875228.22</v>
      </c>
      <c r="U29" s="1">
        <f t="shared" si="4"/>
        <v>37086585</v>
      </c>
    </row>
    <row r="30" spans="1:21" x14ac:dyDescent="0.3">
      <c r="A30">
        <v>36</v>
      </c>
      <c r="B30" t="s">
        <v>72</v>
      </c>
      <c r="C30" t="s">
        <v>73</v>
      </c>
      <c r="D30" t="s">
        <v>83</v>
      </c>
      <c r="E30" t="s">
        <v>89</v>
      </c>
      <c r="F30" t="s">
        <v>54</v>
      </c>
      <c r="G30" t="s">
        <v>85</v>
      </c>
      <c r="H30">
        <v>4142</v>
      </c>
      <c r="I30">
        <v>4845</v>
      </c>
      <c r="J30">
        <f t="shared" si="5"/>
        <v>20067990</v>
      </c>
      <c r="K30" s="1">
        <f t="shared" si="9"/>
        <v>6688661.0700000003</v>
      </c>
      <c r="L30" s="1">
        <f t="shared" si="7"/>
        <v>13379328.93</v>
      </c>
      <c r="M30" s="1">
        <f t="shared" si="8"/>
        <v>13379328.93</v>
      </c>
      <c r="N30">
        <v>0</v>
      </c>
      <c r="O30" s="1">
        <v>0</v>
      </c>
      <c r="P30" s="1">
        <f t="shared" si="0"/>
        <v>13379328.93</v>
      </c>
      <c r="Q30" s="1">
        <f t="shared" si="1"/>
        <v>13379328.93</v>
      </c>
      <c r="R30" s="1">
        <f t="shared" si="10"/>
        <v>1425173.45</v>
      </c>
      <c r="S30">
        <v>0</v>
      </c>
      <c r="T30" s="1">
        <f t="shared" si="3"/>
        <v>1425173.45</v>
      </c>
      <c r="U30" s="1">
        <f t="shared" si="4"/>
        <v>28183831</v>
      </c>
    </row>
    <row r="31" spans="1:21" x14ac:dyDescent="0.3">
      <c r="A31">
        <v>37</v>
      </c>
      <c r="B31" t="s">
        <v>72</v>
      </c>
      <c r="C31" t="s">
        <v>73</v>
      </c>
      <c r="D31" t="s">
        <v>83</v>
      </c>
      <c r="E31" t="s">
        <v>90</v>
      </c>
      <c r="F31" t="s">
        <v>54</v>
      </c>
      <c r="G31" t="s">
        <v>85</v>
      </c>
      <c r="H31">
        <v>3553</v>
      </c>
      <c r="I31">
        <v>4845</v>
      </c>
      <c r="J31">
        <f t="shared" si="5"/>
        <v>17214285</v>
      </c>
      <c r="K31" s="1">
        <f t="shared" si="9"/>
        <v>5737521.1900000004</v>
      </c>
      <c r="L31" s="1">
        <f t="shared" si="7"/>
        <v>11476763.809999999</v>
      </c>
      <c r="M31" s="1">
        <f t="shared" si="8"/>
        <v>11476763.809999999</v>
      </c>
      <c r="N31">
        <v>0</v>
      </c>
      <c r="O31" s="1">
        <v>0</v>
      </c>
      <c r="P31" s="1">
        <f t="shared" si="0"/>
        <v>11476763.809999999</v>
      </c>
      <c r="Q31" s="1">
        <f t="shared" si="1"/>
        <v>11476763.809999999</v>
      </c>
      <c r="R31" s="1">
        <f t="shared" si="10"/>
        <v>1222511.17</v>
      </c>
      <c r="S31">
        <v>0</v>
      </c>
      <c r="T31" s="1">
        <f t="shared" si="3"/>
        <v>1222511.17</v>
      </c>
      <c r="U31" s="1">
        <f t="shared" si="4"/>
        <v>24176039</v>
      </c>
    </row>
    <row r="32" spans="1:21" x14ac:dyDescent="0.3">
      <c r="A32">
        <v>38</v>
      </c>
      <c r="B32" t="s">
        <v>72</v>
      </c>
      <c r="C32" t="s">
        <v>73</v>
      </c>
      <c r="D32" t="s">
        <v>83</v>
      </c>
      <c r="E32" t="s">
        <v>91</v>
      </c>
      <c r="F32" t="s">
        <v>54</v>
      </c>
      <c r="G32" t="s">
        <v>85</v>
      </c>
      <c r="H32">
        <v>431</v>
      </c>
      <c r="I32">
        <v>4845</v>
      </c>
      <c r="J32">
        <f t="shared" si="5"/>
        <v>2088195</v>
      </c>
      <c r="K32" s="1">
        <f t="shared" si="9"/>
        <v>695995.39</v>
      </c>
      <c r="L32" s="1">
        <f t="shared" si="7"/>
        <v>1392199.6099999999</v>
      </c>
      <c r="M32" s="1">
        <f t="shared" si="8"/>
        <v>1392199.6099999999</v>
      </c>
      <c r="N32">
        <v>0</v>
      </c>
      <c r="O32" s="1">
        <v>0</v>
      </c>
      <c r="P32" s="1">
        <f t="shared" si="0"/>
        <v>1392199.6099999999</v>
      </c>
      <c r="Q32" s="1">
        <f t="shared" si="1"/>
        <v>1392199.6099999999</v>
      </c>
      <c r="R32" s="1">
        <f t="shared" si="10"/>
        <v>148297.87</v>
      </c>
      <c r="S32">
        <v>0</v>
      </c>
      <c r="T32" s="1">
        <f t="shared" si="3"/>
        <v>148297.87</v>
      </c>
      <c r="U32" s="1">
        <f t="shared" si="4"/>
        <v>2932697</v>
      </c>
    </row>
    <row r="33" spans="1:21" x14ac:dyDescent="0.3">
      <c r="A33">
        <v>39</v>
      </c>
      <c r="B33" t="s">
        <v>72</v>
      </c>
      <c r="C33" t="s">
        <v>92</v>
      </c>
      <c r="D33" t="s">
        <v>74</v>
      </c>
      <c r="E33" t="s">
        <v>93</v>
      </c>
      <c r="F33" t="s">
        <v>76</v>
      </c>
      <c r="G33" t="s">
        <v>94</v>
      </c>
      <c r="H33">
        <v>10</v>
      </c>
      <c r="I33">
        <v>353.4</v>
      </c>
      <c r="J33">
        <f t="shared" si="5"/>
        <v>3534</v>
      </c>
      <c r="K33" s="1">
        <v>0</v>
      </c>
      <c r="L33" s="1">
        <f t="shared" si="7"/>
        <v>3534</v>
      </c>
      <c r="M33" s="1">
        <f t="shared" si="8"/>
        <v>3534</v>
      </c>
      <c r="N33">
        <v>0</v>
      </c>
      <c r="O33" s="1">
        <v>0</v>
      </c>
      <c r="P33" s="1">
        <f t="shared" si="0"/>
        <v>3534</v>
      </c>
      <c r="Q33" s="1">
        <f t="shared" si="1"/>
        <v>3534</v>
      </c>
      <c r="R33" s="1">
        <f>+ROUND(L33*12/100*295/365,2)</f>
        <v>342.75</v>
      </c>
      <c r="S33">
        <v>1</v>
      </c>
      <c r="T33" s="1">
        <f t="shared" si="3"/>
        <v>343.75</v>
      </c>
      <c r="U33" s="1">
        <f t="shared" si="4"/>
        <v>7412</v>
      </c>
    </row>
    <row r="34" spans="1:21" x14ac:dyDescent="0.3">
      <c r="A34">
        <v>40</v>
      </c>
      <c r="B34" t="s">
        <v>72</v>
      </c>
      <c r="C34" t="s">
        <v>92</v>
      </c>
      <c r="D34" t="s">
        <v>74</v>
      </c>
      <c r="E34" t="s">
        <v>95</v>
      </c>
      <c r="F34" t="s">
        <v>76</v>
      </c>
      <c r="G34" t="s">
        <v>96</v>
      </c>
      <c r="H34">
        <v>1115</v>
      </c>
      <c r="I34">
        <v>353.4</v>
      </c>
      <c r="J34">
        <f t="shared" si="5"/>
        <v>394041</v>
      </c>
      <c r="K34">
        <v>0</v>
      </c>
      <c r="L34" s="1">
        <f t="shared" si="7"/>
        <v>394041</v>
      </c>
      <c r="M34" s="1">
        <f t="shared" si="8"/>
        <v>394041</v>
      </c>
      <c r="N34">
        <v>0</v>
      </c>
      <c r="O34" s="1">
        <v>97120</v>
      </c>
      <c r="P34" s="1">
        <f t="shared" si="0"/>
        <v>491161</v>
      </c>
      <c r="Q34" s="1">
        <f t="shared" si="1"/>
        <v>491161</v>
      </c>
      <c r="R34" s="1">
        <f t="shared" ref="R34:R36" si="11">+ROUND(L34*12/100*295/365,2)</f>
        <v>38216.58</v>
      </c>
      <c r="S34">
        <v>2</v>
      </c>
      <c r="T34" s="1">
        <f t="shared" si="3"/>
        <v>38218.58</v>
      </c>
      <c r="U34" s="1">
        <f t="shared" si="4"/>
        <v>1020541</v>
      </c>
    </row>
    <row r="35" spans="1:21" x14ac:dyDescent="0.3">
      <c r="A35">
        <v>41</v>
      </c>
      <c r="B35" t="s">
        <v>72</v>
      </c>
      <c r="C35" t="s">
        <v>92</v>
      </c>
      <c r="D35" t="s">
        <v>74</v>
      </c>
      <c r="E35" t="s">
        <v>97</v>
      </c>
      <c r="F35" t="s">
        <v>76</v>
      </c>
      <c r="G35" t="s">
        <v>98</v>
      </c>
      <c r="H35">
        <v>860</v>
      </c>
      <c r="I35">
        <v>353.4</v>
      </c>
      <c r="J35">
        <f t="shared" si="5"/>
        <v>303924</v>
      </c>
      <c r="K35">
        <v>0</v>
      </c>
      <c r="L35" s="1">
        <f t="shared" si="7"/>
        <v>303924</v>
      </c>
      <c r="M35" s="1">
        <f t="shared" si="8"/>
        <v>303924</v>
      </c>
      <c r="N35">
        <v>0</v>
      </c>
      <c r="O35" s="1">
        <v>271962</v>
      </c>
      <c r="P35" s="1">
        <f t="shared" si="0"/>
        <v>575886</v>
      </c>
      <c r="Q35" s="1">
        <f t="shared" si="1"/>
        <v>575886</v>
      </c>
      <c r="R35" s="1">
        <f t="shared" si="11"/>
        <v>29476.46</v>
      </c>
      <c r="S35">
        <v>3</v>
      </c>
      <c r="T35" s="1">
        <f t="shared" si="3"/>
        <v>29479.46</v>
      </c>
      <c r="U35" s="1">
        <f t="shared" si="4"/>
        <v>1181251</v>
      </c>
    </row>
    <row r="36" spans="1:21" ht="13.8" customHeight="1" x14ac:dyDescent="0.3">
      <c r="A36">
        <v>42</v>
      </c>
      <c r="B36" t="s">
        <v>72</v>
      </c>
      <c r="C36" t="s">
        <v>92</v>
      </c>
      <c r="D36" t="s">
        <v>74</v>
      </c>
      <c r="E36" t="s">
        <v>99</v>
      </c>
      <c r="F36" t="s">
        <v>76</v>
      </c>
      <c r="G36" t="s">
        <v>100</v>
      </c>
      <c r="H36">
        <v>56</v>
      </c>
      <c r="I36">
        <v>353.4</v>
      </c>
      <c r="J36">
        <f t="shared" si="5"/>
        <v>19790.399999999998</v>
      </c>
      <c r="K36" s="1">
        <v>0</v>
      </c>
      <c r="L36" s="1">
        <f t="shared" si="7"/>
        <v>19790.399999999998</v>
      </c>
      <c r="M36" s="1">
        <f t="shared" si="8"/>
        <v>19790.399999999998</v>
      </c>
      <c r="N36">
        <v>0</v>
      </c>
      <c r="O36" s="1">
        <v>58272</v>
      </c>
      <c r="P36" s="1">
        <f t="shared" si="0"/>
        <v>78062.399999999994</v>
      </c>
      <c r="Q36" s="1">
        <f t="shared" si="1"/>
        <v>78062.399999999994</v>
      </c>
      <c r="R36" s="1">
        <f t="shared" si="11"/>
        <v>1919.4</v>
      </c>
      <c r="S36">
        <v>4</v>
      </c>
      <c r="T36" s="1">
        <f t="shared" si="3"/>
        <v>1923.4</v>
      </c>
      <c r="U36" s="1">
        <f t="shared" si="4"/>
        <v>158048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Gauthaman S</dc:creator>
  <cp:lastModifiedBy>Seetharaman M</cp:lastModifiedBy>
  <dcterms:created xsi:type="dcterms:W3CDTF">2015-06-05T18:17:20Z</dcterms:created>
  <dcterms:modified xsi:type="dcterms:W3CDTF">2026-03-29T11:47:04Z</dcterms:modified>
</cp:coreProperties>
</file>